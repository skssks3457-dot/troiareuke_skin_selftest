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K\Documents\Playground\"/>
    </mc:Choice>
  </mc:AlternateContent>
  <xr:revisionPtr revIDLastSave="0" documentId="13_ncr:1_{EF07A7C8-62DE-44B5-81C3-72ED2627F954}" xr6:coauthVersionLast="47" xr6:coauthVersionMax="47" xr10:uidLastSave="{00000000-0000-0000-0000-000000000000}"/>
  <bookViews>
    <workbookView xWindow="-5415" yWindow="-16320" windowWidth="29040" windowHeight="15720" activeTab="1" xr2:uid="{00000000-000D-0000-FFFF-FFFF00000000}"/>
  </bookViews>
  <sheets>
    <sheet name="상품마스터" sheetId="1" r:id="rId1"/>
    <sheet name="세트규칙" sheetId="2" r:id="rId2"/>
    <sheet name="체크포인트" sheetId="3" r:id="rId3"/>
    <sheet name="보고상품명코드매핑" sheetId="4" r:id="rId4"/>
  </sheets>
  <definedNames>
    <definedName name="_xlnm._FilterDatabase" localSheetId="3" hidden="1">보고상품명코드매핑!$A$1:$H$353</definedName>
    <definedName name="_xlnm._FilterDatabase" localSheetId="0" hidden="1">상품마스터!$A$1:$L$353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5" i="4" l="1"/>
  <c r="F103" i="4"/>
  <c r="F102" i="4"/>
  <c r="F99" i="4"/>
  <c r="F97" i="4"/>
  <c r="F96" i="4"/>
  <c r="F95" i="4"/>
  <c r="F94" i="4"/>
  <c r="F93" i="4"/>
  <c r="F92" i="4"/>
  <c r="F91" i="4"/>
  <c r="F90" i="4"/>
  <c r="F89" i="4"/>
  <c r="F88" i="4"/>
  <c r="F87" i="4"/>
  <c r="F86" i="4"/>
  <c r="F85" i="4"/>
  <c r="F84" i="4"/>
  <c r="F83" i="4"/>
  <c r="F82" i="4"/>
  <c r="F81" i="4"/>
  <c r="F80" i="4"/>
  <c r="F79" i="4"/>
  <c r="F78" i="4"/>
  <c r="F77" i="4"/>
  <c r="F76" i="4"/>
  <c r="F75" i="4"/>
  <c r="F74" i="4"/>
  <c r="F73" i="4"/>
  <c r="F72" i="4"/>
  <c r="F71" i="4"/>
  <c r="F70" i="4"/>
  <c r="F69" i="4"/>
  <c r="F68" i="4"/>
  <c r="F67" i="4"/>
  <c r="F66" i="4"/>
  <c r="F65" i="4"/>
  <c r="F64" i="4"/>
  <c r="F63" i="4"/>
  <c r="F62" i="4"/>
  <c r="F61" i="4"/>
  <c r="F60" i="4"/>
  <c r="F59" i="4"/>
  <c r="F58" i="4"/>
  <c r="F57" i="4"/>
  <c r="F56" i="4"/>
  <c r="F55" i="4"/>
  <c r="F54" i="4"/>
  <c r="F53" i="4"/>
  <c r="F52" i="4"/>
  <c r="F51" i="4"/>
  <c r="F50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6" i="4"/>
  <c r="F25" i="4"/>
  <c r="F24" i="4"/>
  <c r="F23" i="4"/>
  <c r="F22" i="4"/>
  <c r="F21" i="4"/>
  <c r="F20" i="4"/>
  <c r="E335" i="1"/>
  <c r="E334" i="1"/>
  <c r="E333" i="1"/>
  <c r="E332" i="1"/>
  <c r="E331" i="1"/>
  <c r="E330" i="1"/>
  <c r="E329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6" i="1"/>
  <c r="E253" i="1"/>
  <c r="E251" i="1"/>
  <c r="E250" i="1"/>
</calcChain>
</file>

<file path=xl/sharedStrings.xml><?xml version="1.0" encoding="utf-8"?>
<sst xmlns="http://schemas.openxmlformats.org/spreadsheetml/2006/main" count="6638" uniqueCount="847">
  <si>
    <t>품목코드</t>
  </si>
  <si>
    <t>품목명</t>
  </si>
  <si>
    <t>라인</t>
  </si>
  <si>
    <t>구분</t>
  </si>
  <si>
    <t>소비자가</t>
  </si>
  <si>
    <t>실물수량기준</t>
  </si>
  <si>
    <t>정산수량기준</t>
  </si>
  <si>
    <t>MKTADMMCIKIT</t>
  </si>
  <si>
    <t>(사용중단) (TA) 멜라-소닉 씨-인퓨저 [파우더800mg / 세럼 8ml * 4개입]</t>
  </si>
  <si>
    <t>트로이아르케</t>
  </si>
  <si>
    <t>단품</t>
  </si>
  <si>
    <t>MKRXACHQ50</t>
  </si>
  <si>
    <t>(TA) 하이드라 퀀칭 앰플 크림 [50ml]</t>
  </si>
  <si>
    <t>MKRXASHQ35</t>
  </si>
  <si>
    <t>(TA) 하이드라 퀀칭 앰플 세럼 [35ml]</t>
  </si>
  <si>
    <t>MKRXACTRQ50</t>
  </si>
  <si>
    <t>(TA) 티-레스큐 앰플 크림 [50ml]</t>
  </si>
  <si>
    <t>MKRXASTRQ35</t>
  </si>
  <si>
    <t>(TA) 티-레스큐 앰플 세럼 [35ml]</t>
  </si>
  <si>
    <t>MK2025GIFTBOX</t>
  </si>
  <si>
    <t>(TA) 트로이아르케 페이스 핏 키트(기프트박스)</t>
  </si>
  <si>
    <t>MKTACSA2300</t>
  </si>
  <si>
    <t>(TA) 트로이아르케 쿠션 A+ 23호 [15g]</t>
  </si>
  <si>
    <t>MKTACSA2100</t>
  </si>
  <si>
    <t>(TA) 트로이아르케 쿠션 A+ 21호 [15g]</t>
  </si>
  <si>
    <t>MKTAPORCBL</t>
  </si>
  <si>
    <t>(TA) 트로이아르케 도자기(파랑) -페이스용</t>
  </si>
  <si>
    <t>MKTAPORCCUP</t>
  </si>
  <si>
    <t>(TA) 트로이아르케 도자기(절구)-바디용</t>
  </si>
  <si>
    <t>MKTAPORCTHUMB</t>
  </si>
  <si>
    <t>(TA) 트로이아르케 도자기(엄지)-바디용</t>
  </si>
  <si>
    <t>MKTAPORCRED</t>
  </si>
  <si>
    <t>(TA) 트로이아르케 도자기(빨강) -페이스용</t>
  </si>
  <si>
    <t>MKTAPORCGR</t>
  </si>
  <si>
    <t>(TA) 트로이아르케 도자기(녹색) -페이스용</t>
  </si>
  <si>
    <t>MKTAPORCYEL</t>
  </si>
  <si>
    <t>(TA) 트로이아르케 도자기(노랑) -페이스용</t>
  </si>
  <si>
    <t>MKTAPOREAR</t>
  </si>
  <si>
    <t>(TA) 트로이아르케 도자기(귀)-바디용</t>
  </si>
  <si>
    <t>MKTAEVC01</t>
  </si>
  <si>
    <t>(TA) 인텐스 UV프로텍터 크림 [50ml]</t>
  </si>
  <si>
    <t>MKTAEBH15</t>
  </si>
  <si>
    <t>(TA) 에스테틱비비크림-에이치(H)포뮬러 [15ml]</t>
  </si>
  <si>
    <t>MKTAEBA15</t>
  </si>
  <si>
    <t>(TA) 에스테틱비비크림-에이(A)포뮬러 [15ml]</t>
  </si>
  <si>
    <t>MKTAEC125</t>
  </si>
  <si>
    <t>(TA) 에너지크림 [125ml]</t>
  </si>
  <si>
    <t>MKTAALEC25</t>
  </si>
  <si>
    <t>(TA) 안티링클아이크림 [25ml]</t>
  </si>
  <si>
    <t>MKTAATWKEYEPACH</t>
  </si>
  <si>
    <t>(TA) 안티링클 콜라겔 아이패치 [82g*30pairs]</t>
  </si>
  <si>
    <t>MKTALD300N1</t>
  </si>
  <si>
    <t>(TA) 아로마LD오일(단상자O) [300ml]</t>
  </si>
  <si>
    <t>MKTALD300</t>
  </si>
  <si>
    <t>(TA) 아로마LD오일 [300ml]</t>
  </si>
  <si>
    <t>MKTASC25</t>
  </si>
  <si>
    <t>(TA) 쉴드크림 [25ml]</t>
  </si>
  <si>
    <t>MKRXACVTTN50</t>
  </si>
  <si>
    <t>(TA) 비타 토닝 앰플 크림 [50ml]</t>
  </si>
  <si>
    <t>MKRXASVTTN35</t>
  </si>
  <si>
    <t>(TA) 비타 토닝 앰플 세럼 [35ml]</t>
  </si>
  <si>
    <t>MKTADMMCIKITN1</t>
  </si>
  <si>
    <t>(TA) 멜라-소닉 씨-인퓨저(리뉴얼) [파우더800mg * 4개입/ 솔루션 40ml]</t>
  </si>
  <si>
    <t>MKRXACRDD50</t>
  </si>
  <si>
    <t>(TA) 레드 디-에이징 앰플 크림 [50ml]</t>
  </si>
  <si>
    <t>MKRXASRDD35</t>
  </si>
  <si>
    <t>(TA) 레드 디-에이징 앰플 세럼 [35ml]</t>
  </si>
  <si>
    <t>MKTAPIT180</t>
  </si>
  <si>
    <t>(TA) PIT클렌징밀크 180ml [180ml]</t>
  </si>
  <si>
    <t>MKTAHCP200</t>
  </si>
  <si>
    <t>(TA) H+ 칵테일 퓨리파잉앰플(블루) [200ml]</t>
  </si>
  <si>
    <t>MKTAHCP70</t>
  </si>
  <si>
    <t>(TA) H+ 칵테일 퓨리파잉 앰플(블루) [70ml]</t>
  </si>
  <si>
    <t>MKTAHCM200</t>
  </si>
  <si>
    <t>(TA) H+ 칵테일 모이스춰라이징앰플(그린) [200ml]</t>
  </si>
  <si>
    <t>MKTAHCM70</t>
  </si>
  <si>
    <t>(TA) H+ 칵테일 모이스처라이징 앰플(그린)NEW [70ml]</t>
  </si>
  <si>
    <t>MKTAHCA200</t>
  </si>
  <si>
    <t>(TA) H+ 칵테일 리쥬비네이팅앰플(레드) [200ml]</t>
  </si>
  <si>
    <t>MKTAHCA70</t>
  </si>
  <si>
    <t>(TA) H+ 칵테일 리쥬비네이팅 앰플(레드)NEW [70ml]</t>
  </si>
  <si>
    <t>MKTAHCR200</t>
  </si>
  <si>
    <t>(TA) H+ 칵테일 레디언스앰플(옐로우) [200ml]</t>
  </si>
  <si>
    <t>MKTAHCR70</t>
  </si>
  <si>
    <t>(TA) H+ 칵테일 레디언스 앰플(옐로우)NEW [70ml]</t>
  </si>
  <si>
    <t>MKTAGPSBLUE</t>
  </si>
  <si>
    <t>(TA) GPS마스크 - 티-레스큐 [26g /1매입]</t>
  </si>
  <si>
    <t>MKTAGPSRED</t>
  </si>
  <si>
    <t>(TA) GPS마스크 - 레드 디-에이징 [30g /1매입]</t>
  </si>
  <si>
    <t>MMGPSVT2STEP</t>
  </si>
  <si>
    <t>(TA) GPS 마스크 비타-토닝 2-스텝 [10ml+30ml]</t>
  </si>
  <si>
    <t>MKTAAGT200</t>
  </si>
  <si>
    <t>(TA) AGT하이드로 에센스 [200ml]</t>
  </si>
  <si>
    <t>MKTAAGT100</t>
  </si>
  <si>
    <t>(TA) AGT하이드로 에센스 [100ml]</t>
  </si>
  <si>
    <t>MKTAAGTC80</t>
  </si>
  <si>
    <t>(TA) AGT 하이드로크림 80ml [80ml]</t>
  </si>
  <si>
    <t>MKTAAGTC25</t>
  </si>
  <si>
    <t>(TA) AGT 하이드로 크림 25ml [25ml]</t>
  </si>
  <si>
    <t>MKACRCVR80-P2-MIMI</t>
  </si>
  <si>
    <t>(P)악센 리커버리 2달 권장 사용량(1+1, 미미호호) [80ml*2]</t>
  </si>
  <si>
    <t>세트</t>
  </si>
  <si>
    <t>MKBTHC30-BTDHP80</t>
  </si>
  <si>
    <t>(P) 힐링캡슐 + 대나무 힐링패드</t>
  </si>
  <si>
    <t>MKTAHCR200-1</t>
  </si>
  <si>
    <t>(P) 힐링칵테일(옐로우) 2025년 _일회성코드 [200ml]</t>
  </si>
  <si>
    <t>MKRXACHQ50-3</t>
  </si>
  <si>
    <t>(P) 하이드라 퀀칭 앰플 크림 1+2 [50ml*3개]</t>
  </si>
  <si>
    <t>MKRXACHQ50-2</t>
  </si>
  <si>
    <t>(P) 하이드라 퀀칭 앰플 크림 1+1 [50ml+50ml]</t>
  </si>
  <si>
    <t>MKRXASHQ35-2</t>
  </si>
  <si>
    <t>(P) 하이드라 퀀칭 앰플 세럼 1+1 [35ml+35ml]</t>
  </si>
  <si>
    <t>MKRXACTRQ50-3</t>
  </si>
  <si>
    <t>(P) 티-레스큐 앰플 크림 1+2 [50ml*3]</t>
  </si>
  <si>
    <t>MKRXACTRQ50-2</t>
  </si>
  <si>
    <t>(P) 티-레스큐 앰플 크림 1+1 [50ml+50ml]</t>
  </si>
  <si>
    <t>MKRXASTRQ35-2</t>
  </si>
  <si>
    <t>(P) 티-레스큐 앰플 세럼1+1 [35ml+35ml]</t>
  </si>
  <si>
    <t>MKTACSA2300-2</t>
  </si>
  <si>
    <t>(P) 트로이아르케 쿠션 A+ 23호 2세트 [2세트]</t>
  </si>
  <si>
    <t>MKTACSA2123</t>
  </si>
  <si>
    <t>(P) 트로이아르케 쿠션 A+ 21호+23호 [2세트]</t>
  </si>
  <si>
    <t>MKTACSA2100-2</t>
  </si>
  <si>
    <t>(P) 트로이아르케 쿠션 A+ 21호 2세트 [2세트]</t>
  </si>
  <si>
    <t>TAUVC01-P88/1</t>
  </si>
  <si>
    <t>(P) 인텐스UV프로텍터크림 + 악센UV프로텍터에센스 [50ml+50ml]</t>
  </si>
  <si>
    <t>TAUVC01-P88</t>
  </si>
  <si>
    <t>(P) 인텐스 UV프로텍터크림 1+1 [50ml+50ml]</t>
  </si>
  <si>
    <t>TA0093</t>
  </si>
  <si>
    <t>(P) 옐로우블루 힐링칵테일 [Y1 B1]</t>
  </si>
  <si>
    <t>TA0092</t>
  </si>
  <si>
    <t>(P) 옐로우레드 힐링칵테일 [Y1 R1]</t>
  </si>
  <si>
    <t>TA0091</t>
  </si>
  <si>
    <t>(P) 엘로우옐로우 힐링칵테일 [Y1 Y1]</t>
  </si>
  <si>
    <t>TAAC01-P88/9</t>
  </si>
  <si>
    <t>(P) 에스테틱비비크림 H포뮬러 2EA/ 힐링퍼프 증정 [비비크림H포뮬러 2ea+힐링퍼프]</t>
  </si>
  <si>
    <t>TAACBBH01-P88/7</t>
  </si>
  <si>
    <t>(P) 에스테틱비비크림 H2+ A1/힐링퍼프 증정 [H2/A1+힐링퍼프]</t>
  </si>
  <si>
    <t>MKTAEBH15-3-HPUFF2</t>
  </si>
  <si>
    <t>(P) 에스테틱비비크림 H 포뮬러 (2+1) +힐링퍼프2개 [비비크림H포뮬러 3ea+힐링퍼프2개]</t>
  </si>
  <si>
    <t>TAACBBH01-P88/6</t>
  </si>
  <si>
    <t>(P) 에스테틱비비크림 H 2+1/힐링퍼프 증정 [H3+힐링퍼프]</t>
  </si>
  <si>
    <t>TAACBBH01-P88/1</t>
  </si>
  <si>
    <t>(P) 에스테틱비비크림 H 2+1 [H 2+1]</t>
  </si>
  <si>
    <t>MKTAEBH2A1-HPUFF2</t>
  </si>
  <si>
    <t>(P) 에스테틱비비크림 H 2 + A1 + 힐링퍼프2개 [비비크림H 2ea+ A 1ea +힐링퍼프2개]</t>
  </si>
  <si>
    <t>TAACBBH01-P88/2</t>
  </si>
  <si>
    <t>(P) 에스테틱비비크림 H 2 + A 1 [H2 + A1]</t>
  </si>
  <si>
    <t>TAAC01-P88/8</t>
  </si>
  <si>
    <t>(P) 에스테틱비비크림 A포뮬러 2EA/ 힐링퍼프 증정 [비비크림A포뮬러 2ea+힐링퍼프]</t>
  </si>
  <si>
    <t>TAAC01-P88/10</t>
  </si>
  <si>
    <t>(P) 에스테틱비비크림 A포뮬러 1EA + 에스테틱비비크림 H포뮬러 1EA/ 힐링퍼프 증정 [비비크림A포뮬러, 비비크림H포뮬러 +힐링퍼프]</t>
  </si>
  <si>
    <t>TAAC01-P88/7</t>
  </si>
  <si>
    <t>(P) 에스테틱비비크림 A2+ H1/ 힐링퍼프 증정 [A2/H1+힐링퍼프]</t>
  </si>
  <si>
    <t>MKTAEBA15-3-HPUFF2</t>
  </si>
  <si>
    <t>(P) 에스테틱비비크림 A 포뮬러(2+1) + 힐링퍼프2개 [비비크림A포뮬러 3ea+힐링퍼프2개]</t>
  </si>
  <si>
    <t>TAAC01-P88/1</t>
  </si>
  <si>
    <t>(P) 에스테틱비비크림 A 2+1 [A 2+1]</t>
  </si>
  <si>
    <t>TAAC01-P88/6</t>
  </si>
  <si>
    <t>(P) 에스테틱비비크림 A 2+1 /힐링퍼프 증정 [A3+힐링퍼프]</t>
  </si>
  <si>
    <t>TAAC01-P88/2</t>
  </si>
  <si>
    <t>(P) 에스테틱비비크림 A 2+ H 1 [A2 + H1]</t>
  </si>
  <si>
    <t>MKTAEBA2H1-HPUFF2</t>
  </si>
  <si>
    <t>(P) 에스테틱비비크림 A 2 + H1 + 힐링퍼프2개 [비비크림 A 2ea+ H 1ea+힐링퍼프2개]</t>
  </si>
  <si>
    <t>SB003305</t>
  </si>
  <si>
    <t>(P) 에스테틱 일회용해면+리필세트 [본품+리필2ea]</t>
  </si>
  <si>
    <t>MKTAEBH15-2</t>
  </si>
  <si>
    <t>(P) 에스테틱 비비크림 H 2개 세트 [15ML*2ea]</t>
  </si>
  <si>
    <t>MKTAEBAH15</t>
  </si>
  <si>
    <t>(P) 에스테틱 비비크림 A+H [15ml*2ea]</t>
  </si>
  <si>
    <t>MKTAEBA15-2</t>
  </si>
  <si>
    <t>(P) 에스테틱 비비크림 A 2개 세트 [15ml*2ea]</t>
  </si>
  <si>
    <t>MKTAEC125-5</t>
  </si>
  <si>
    <t>(P) 에너지크림125ml*5개 [125ml*5개]</t>
  </si>
  <si>
    <t>MKTAEC125-3</t>
  </si>
  <si>
    <t>(P) 에너지크림125ml*3개 [125ml*3개]</t>
  </si>
  <si>
    <t>TA0099c-P88-2</t>
  </si>
  <si>
    <t>(P) 에너지크림125 + 옐로도자기</t>
  </si>
  <si>
    <t>TA0099c-P88</t>
  </si>
  <si>
    <t>(P) 에너지크림125 + 레드도자기</t>
  </si>
  <si>
    <t>TA0099c-P88-1</t>
  </si>
  <si>
    <t>(P) 에너지크림125 + 그린도자기</t>
  </si>
  <si>
    <t>MKTAECBTLCYL</t>
  </si>
  <si>
    <t>(P) 에너지크림 125ml + 리프팅컵(옐로) [125ml + 옐로]</t>
  </si>
  <si>
    <t>MKTAECBTLCBL</t>
  </si>
  <si>
    <t>(P) 에너지크림 125ml + 리프팅컵(블루) [125ml + 블루]</t>
  </si>
  <si>
    <t>MKTAECBTLCRED</t>
  </si>
  <si>
    <t>(P) 에너지크림 125ml + 리프팅컵(레드) [125ml + 레드]</t>
  </si>
  <si>
    <t>MKTAECBTLCGR</t>
  </si>
  <si>
    <t>(P) 에너지크림 125ml + 리프팅컵(그린) [125ml + 그린]</t>
  </si>
  <si>
    <t>MKTAALEC25-6</t>
  </si>
  <si>
    <t>(P) 안티링클아이크림3+3 [25ml 3+3]</t>
  </si>
  <si>
    <t>00025</t>
  </si>
  <si>
    <t>(P) 안티링클아이크림1+1= 2개 [25ml+25ml]</t>
  </si>
  <si>
    <t>MKTAALEC25-12</t>
  </si>
  <si>
    <t>(P) 안티링클아이크림 6+6 [25ml 6+6]</t>
  </si>
  <si>
    <t>MKTAALEC2TYPE</t>
  </si>
  <si>
    <t>(P) 안티링클아이크림 25ml+13ml [25ml+ 13ml]</t>
  </si>
  <si>
    <t>TAAWEP85-1</t>
  </si>
  <si>
    <t>(P) 안티링클 콜라겔 아이패치 1+1 [82g+82g]</t>
  </si>
  <si>
    <t>MKACPCM50-2</t>
  </si>
  <si>
    <t>(P) 악센 포어컨트롤마스크 50ml 1+1 [50ml*50ml]</t>
  </si>
  <si>
    <t>MKACPCM200-3</t>
  </si>
  <si>
    <t>(P) 악센 포어컨트롤마스크 200ml 1+2 [200ml*3]</t>
  </si>
  <si>
    <t>MKACPCM200-2-PCM50-2</t>
  </si>
  <si>
    <t>(P) 악센 포어컨트롤마스크 200ml 1+1 (50ml 2개 증정) [200ml*2개 50ml*2개]</t>
  </si>
  <si>
    <t>AC0007-P88/2</t>
  </si>
  <si>
    <t>(P) 악센 포어컨트롤마스크 * 2ea [200ml+200ml]</t>
  </si>
  <si>
    <t>AC0001-P88</t>
  </si>
  <si>
    <t>(P) 악센 오일컷클렌징(300ml) 1+1 [300ml+300ml]</t>
  </si>
  <si>
    <t>MKACOILCUT2TYPE</t>
  </si>
  <si>
    <t>(P) 악센 오일컷클렌징 300ml+120ml [300ml+120ml]</t>
  </si>
  <si>
    <t>MKACOILCUT120-3</t>
  </si>
  <si>
    <t>(P) 악센 오일컷클렌징 120ml 3SET [120ml* 3ea]</t>
  </si>
  <si>
    <t>MKACOILCUT300-12</t>
  </si>
  <si>
    <t>(P) 악센 오일컷클렌징 [300ml] 6+6 [300ml]</t>
  </si>
  <si>
    <t>MKACOILCUT300-6</t>
  </si>
  <si>
    <t>(P) 악센 오일컷클렌징 [300ml] 3+3 [300ml]</t>
  </si>
  <si>
    <t>MKACSICAT150-2-BTDHP</t>
  </si>
  <si>
    <t>(P) 악센 시카센토너 150ml 2개 + 대나무 힐링패드 [150ml*2개+ 80매]</t>
  </si>
  <si>
    <t>MKACSICAT150-2</t>
  </si>
  <si>
    <t>(P) 악센 시카센토너 150ml 2개 [150ml*2개]</t>
  </si>
  <si>
    <t>MKACSMS40-ACPCM50</t>
  </si>
  <si>
    <t>(P) 악센 셀레믹스세럼 + 악센 포어컨트롤 마스크 50ml [40mla+50ml]</t>
  </si>
  <si>
    <t>MKACSENA1AP2</t>
  </si>
  <si>
    <t>(P) 악센 센앰플 35ml 1개 + 미라클키트 2개 [35ml+kit 2개]</t>
  </si>
  <si>
    <t>MKACSENA35-12-EC13-6</t>
  </si>
  <si>
    <t>(P) 악센 센 앰플 35ml 6+6 (안티링클아이크림13ml 6개) [35ml*12개 + 13ml*6개]</t>
  </si>
  <si>
    <t>MKACSENA35-6-EC13-3</t>
  </si>
  <si>
    <t>(P) 악센 센 앰플 35ml 3+3 (안티링클아이크림13ml 3개) [35ml*6개 + 13ml*3개]</t>
  </si>
  <si>
    <t>MKACSENA35-2-EC13-1</t>
  </si>
  <si>
    <t>(P) 악센 센 앰플 35ml 1+1 (안티링클아이크림13ml 1개) [35ml*2개 + 13ml*1개]</t>
  </si>
  <si>
    <t>ACASEN35-P88-12</t>
  </si>
  <si>
    <t>(P) 악센 센 앰플 (35ml) 6+6 [35ml+35ml]</t>
  </si>
  <si>
    <t>ACASEN35-P88-6</t>
  </si>
  <si>
    <t>(P) 악센 센 앰플 (35ml) 3+3 [35ml+35ml]</t>
  </si>
  <si>
    <t>ACASEN35-PP</t>
  </si>
  <si>
    <t>(P) 악센 센 앰플 (35ml) 1+1 [35ml+35ml]</t>
  </si>
  <si>
    <t>MKACRCVR80-P12</t>
  </si>
  <si>
    <t>(P) 악센 리커버리(80ml) 6+6 [80ml*12]</t>
  </si>
  <si>
    <t>MKACRCVR80-P6</t>
  </si>
  <si>
    <t>(P) 악센 리커버리(80ml) 3+3 [80ml*6]</t>
  </si>
  <si>
    <t>AC00061-P88</t>
  </si>
  <si>
    <t>(P) 악센 리커버리(80ml) 1+1 [80ml+80ml]</t>
  </si>
  <si>
    <t>MKACRCVR80-P6-MIMI</t>
  </si>
  <si>
    <t>(P) 악센 리커버리 반년 권장 사용량(3+3,미미호호) [80ml*6]</t>
  </si>
  <si>
    <t>AC0011-P88</t>
  </si>
  <si>
    <t>(P) 악센 UV프로텍터에센스 1+1 [50ml+50ml]</t>
  </si>
  <si>
    <t>MKACTOC100-2-BTDHP80</t>
  </si>
  <si>
    <t>(P) 악센 TOC토너 2개 + 대나무 힐링패드 [100ml*2 + 80매]</t>
  </si>
  <si>
    <t>MKACTOC100-2</t>
  </si>
  <si>
    <t>(P) 악센 TOC토너 2개 [100ml*2]</t>
  </si>
  <si>
    <t>TAACSOSM01-P88</t>
  </si>
  <si>
    <t>(P) 악센 SOS슬리핑마스크 1+1 [50ml+50ml]</t>
  </si>
  <si>
    <t>MKACC25-2</t>
  </si>
  <si>
    <t>(P) 악센 AC크림 1+1 [25ml]</t>
  </si>
  <si>
    <t>MKACSPOT15-2</t>
  </si>
  <si>
    <t>(P) 악센 AC스팟솔루션15ml 1+1</t>
  </si>
  <si>
    <t>TALC25-P88</t>
  </si>
  <si>
    <t>(P) 쉴드크림 25ml (2+2) [25ml+25ml]</t>
  </si>
  <si>
    <t>MKRXASVTTN35-2</t>
  </si>
  <si>
    <t>(P) 비타 토닝 앰플 세럼 1+1 [35ml+35ml]</t>
  </si>
  <si>
    <t>TA0096</t>
  </si>
  <si>
    <t>(P) 블루블루 힐링칵테일 [B1 B1]</t>
  </si>
  <si>
    <t>MKTAMCIKITGPSVTHCR70</t>
  </si>
  <si>
    <t>(P) 멜라소닉씨인퓨저+GPS 비타토닝 +힐칵옐로우70ml</t>
  </si>
  <si>
    <t>MKTADMMCIKITN3GPSY4</t>
  </si>
  <si>
    <t>(P) 멜라-소닉 씨-인퓨저 3개 + GPS 마스크 비타-토닝 2-스텝 4개</t>
  </si>
  <si>
    <t>MKTADMMCIKITN1GPSY1</t>
  </si>
  <si>
    <t>(P) 멜라-소닉 씨-인퓨저 1개 + GPS 마스크 비타-토닝 2-스텝 1개</t>
  </si>
  <si>
    <t>TA0095</t>
  </si>
  <si>
    <t>(P) 레드블루 힐링칵테일 [R1 B1]</t>
  </si>
  <si>
    <t>TA0094</t>
  </si>
  <si>
    <t>(P) 레드레드 힐링칵테일 [R1 R1]</t>
  </si>
  <si>
    <t>MKRXASRDD35-2</t>
  </si>
  <si>
    <t>(P) 레드 디-에이징 앰플 세럼 1+1 [35ml+35ml]</t>
  </si>
  <si>
    <t>TA0088</t>
  </si>
  <si>
    <t>(P) 그린옐로우 힐링칵테일 [G1 Y1]</t>
  </si>
  <si>
    <t>TA0090</t>
  </si>
  <si>
    <t>(P) 그린블루 힐링칵테일 [G1 B1]</t>
  </si>
  <si>
    <t>TA0089</t>
  </si>
  <si>
    <t>(P) 그린레드 힐링칵테일 [G1 R1]</t>
  </si>
  <si>
    <t>TA0087</t>
  </si>
  <si>
    <t>(P) 그린그린 힐링칵테일 [G1 G1]</t>
  </si>
  <si>
    <t>MKTAPIT180-2-HB100</t>
  </si>
  <si>
    <t>(P) PIT 클렌징 밀크 180ml 2개+ 일회용해면 100매</t>
  </si>
  <si>
    <t>MKTAPIT180-BTE1HRF50</t>
  </si>
  <si>
    <t>(P) PIT 클렌징 밀크 180ml + 일회용해면 50매</t>
  </si>
  <si>
    <t>MKTAHCP70-2-R70-1</t>
  </si>
  <si>
    <t>(P) H+ 칵테일70ml (블루 2개 + 옐로우 1개) [70ml*3ea]</t>
  </si>
  <si>
    <t>MKTAHCP70-3</t>
  </si>
  <si>
    <t>(P) H+ 칵테일 퓨리파잉 앰플(블루) 3개 [70ml*3ea]</t>
  </si>
  <si>
    <t>MKTAGPSBLUE-6</t>
  </si>
  <si>
    <t>(P) GPS마스크 - 티-레스큐 5+1 [26g*8매]</t>
  </si>
  <si>
    <t>MKTAGPSBLUE-30</t>
  </si>
  <si>
    <t>(P) GPS마스크 - 티-레스큐 20+10 [26g*30매]</t>
  </si>
  <si>
    <t>MKTAGPSBLUE-13</t>
  </si>
  <si>
    <t>(P) GPS마스크 - 티-레스큐 10+3 [26g*13매]</t>
  </si>
  <si>
    <t>MKTAGPSRED-30</t>
  </si>
  <si>
    <t>(P) GPS마스크 - 레드 디-에이징 20+10 [30g*35매입]</t>
  </si>
  <si>
    <t>MMGPSVT2STEP-6</t>
  </si>
  <si>
    <t>(P) GPS 마스크 비타-토닝 2-스텝 5+1</t>
  </si>
  <si>
    <t>MMGPSVT2STEP-4</t>
  </si>
  <si>
    <t>(P) GPS 마스크 비타-토닝 2-스텝 3+1</t>
  </si>
  <si>
    <t>MMGPSVT2STEP-30</t>
  </si>
  <si>
    <t>(P) GPS 마스크 비타-토닝 2-스텝 20+10</t>
  </si>
  <si>
    <t>MMGPSVT2STEP-15</t>
  </si>
  <si>
    <t>(P) GPS 마스크 비타-토닝 2-스텝 10+5</t>
  </si>
  <si>
    <t>MMGPSVT2STEP-13</t>
  </si>
  <si>
    <t>(P) GPS 마스크 비타-토닝 2-스텝 10+3</t>
  </si>
  <si>
    <t>MKTA15LUCKYBOX</t>
  </si>
  <si>
    <t>(P) AGT하이드로크림25ml 1개 + GPS마스크(옐로우/레드/블루)+옥시젠토닝클렌저 본품&amp;키트 1개 [25ml*1+ 컬러별 1매 + 150g + 키트 1개]</t>
  </si>
  <si>
    <t>MKTAAGTSET2025</t>
  </si>
  <si>
    <t>(P) AGT 블루 에디션 세트(AGT크림80ml+에센스200ml+슬리핑 15ml) [set]</t>
  </si>
  <si>
    <t>MKTAAGTSET</t>
  </si>
  <si>
    <t>(P) AGT 블루 에디션 세트 (AGT크림80ml+에센스200ml) [set]</t>
  </si>
  <si>
    <t>MKACSOSMASK50-1</t>
  </si>
  <si>
    <t>2025년 (AC) 악센 SOS슬리핑마스크 50ml [50ml]</t>
  </si>
  <si>
    <t>악센</t>
  </si>
  <si>
    <t>MKACRXSCRP500</t>
  </si>
  <si>
    <t>(사용중단)(AC) 악센 알엑스투스칼프클렌저 [500ml]</t>
  </si>
  <si>
    <t>MKACSOSMASK50-2-15-4</t>
  </si>
  <si>
    <t>(사용중단) (P) 악센 SOS 슬리핑마스크 50ml 1+1 (15ml 4개증정) [50ml*2 + 15ml*4]</t>
  </si>
  <si>
    <t>MKACSOSMASK50</t>
  </si>
  <si>
    <t>(사용중단) (AC) 악센 SOS슬리핑마스크 50ml [50ml]</t>
  </si>
  <si>
    <t>ACAKIT01-P88</t>
  </si>
  <si>
    <t>(P) AC클리어앰플 키트 1+1 [3개입+3개입]</t>
  </si>
  <si>
    <t>MKACPCM50</t>
  </si>
  <si>
    <t>(AC) 악센 포어컨트롤마스크 [50ml]</t>
  </si>
  <si>
    <t>MKACPCM200</t>
  </si>
  <si>
    <t>(AC) 악센 포어컨트롤마스크 [200ml]</t>
  </si>
  <si>
    <t>MKACOILCUT300</t>
  </si>
  <si>
    <t>(AC) 악센 오일컷클렌징 [300ml]</t>
  </si>
  <si>
    <t>MKACOILCUT120</t>
  </si>
  <si>
    <t>(AC) 악센 오일컷클렌징 [120ml]</t>
  </si>
  <si>
    <t>MKACSICAT150</t>
  </si>
  <si>
    <t>(AC) 악센 시카센토너 [150ml]</t>
  </si>
  <si>
    <t>MKACSMS40</t>
  </si>
  <si>
    <t>(AC) 악센 셀레믹스세럼 [40ml]</t>
  </si>
  <si>
    <t>MKACSENA35-1</t>
  </si>
  <si>
    <t>(AC) 악센 센 앰플(new) [35ml+앰플드로퍼+어플리게이터]</t>
  </si>
  <si>
    <t>MKACRCVR80</t>
  </si>
  <si>
    <t>(AC) 악센 리커버리 [80ml]</t>
  </si>
  <si>
    <t>MKACRCVR25</t>
  </si>
  <si>
    <t>(AC) 악센 리커버리 [25ml]</t>
  </si>
  <si>
    <t>MKACUVE50</t>
  </si>
  <si>
    <t>(AC) 악센 UV프로텍터 에센스 [50ml]</t>
  </si>
  <si>
    <t>MKACTOC100</t>
  </si>
  <si>
    <t>(AC) 악센 TOC토너 [100ml]</t>
  </si>
  <si>
    <t>MKACCLEARKIT3</t>
  </si>
  <si>
    <t>(AC) 악센 AC클리어앰플 키트 [3개입]</t>
  </si>
  <si>
    <t>MKACC25</t>
  </si>
  <si>
    <t>(AC) 악센 AC크림 [25ml]</t>
  </si>
  <si>
    <t>MKACSPOT15</t>
  </si>
  <si>
    <t>(AC) 악센 AC스팟솔루션15ml [15ml]</t>
  </si>
  <si>
    <t>MKACPPSICAMASK5</t>
  </si>
  <si>
    <t>(AC) (NEW) 악센 퍼플시카마스크 5매입 [50g*2step 5매입]</t>
  </si>
  <si>
    <t>MKTSTSMASK1201PLUS1</t>
  </si>
  <si>
    <t>[P] 서울 토닝 세럼 마스크(100매입) 1+1 [120ml+120ml]</t>
  </si>
  <si>
    <t>서울</t>
  </si>
  <si>
    <t>MKTSSMBDKIT</t>
  </si>
  <si>
    <t>(사용중단)(TS) 바디 디 키트 (D 키트) (서울메이드) [200ml]</t>
  </si>
  <si>
    <t>MKTSSMBED2KIT</t>
  </si>
  <si>
    <t>(사용중단)(P) 바디 엠.이. 키트 (E.D키트) 2종 (서울메이드) [kit]</t>
  </si>
  <si>
    <t>MKPSMBMMMM</t>
  </si>
  <si>
    <t>(사용중단)(P) 바디 M 키트 3개 (서울메이드) [200ml*200ml*200ml]</t>
  </si>
  <si>
    <t>MKPSMBMMM</t>
  </si>
  <si>
    <t>(사용중단)(P) 바디 M 키트 2개 (서울메이드) [200ml*200ml]</t>
  </si>
  <si>
    <t>MKPSMBMEEE</t>
  </si>
  <si>
    <t>(사용중단)(P) 바디 E 키트 3개 (서울메이드) [200ml*200ml*200ml]</t>
  </si>
  <si>
    <t>MKPSMBMEE</t>
  </si>
  <si>
    <t>(사용중단)(P) 바디 E 키트 2개 (서울메이드) [200ml*200ml]</t>
  </si>
  <si>
    <t>MKPSMBMDDD</t>
  </si>
  <si>
    <t>(사용중단)(P) 바디 D 키트 3개 (서울메이드) [200ml*200ml*200ml]</t>
  </si>
  <si>
    <t>MKPSMBMDD</t>
  </si>
  <si>
    <t>(사용중단)(P) 바디 D 키트 2개 (서울메이드) [200ml*200ml]</t>
  </si>
  <si>
    <t>MKTSTSMASK120</t>
  </si>
  <si>
    <t>(사용중단) (TS) 서울 토닝 세럼 마스크(100매입) [120ml]</t>
  </si>
  <si>
    <t>MKTSSMBEKIT</t>
  </si>
  <si>
    <t>(사용중단) (TS) 바디 이 키트 (E 키트) (서울메이드) [200ml]</t>
  </si>
  <si>
    <t>MKTSSMBMKIT</t>
  </si>
  <si>
    <t>(사용중단) (TS) 바디 엠 키트 (M 키트) (서울메이드) [200ml]</t>
  </si>
  <si>
    <t>MKTSSMBMED3KIT</t>
  </si>
  <si>
    <t>(사용중단) (P) 바디 엠.이.디 키트 (M.E.D 키트) 3종 (서울메이드) [200ml]</t>
  </si>
  <si>
    <t>MKTSSMBME2KIT</t>
  </si>
  <si>
    <t>(사용중단) (P) 바디 엠.이. 키트 (M.E.키트) 2종 (서울메이드) [200ml]</t>
  </si>
  <si>
    <t>MKTSSMBMD2KIT</t>
  </si>
  <si>
    <t>(사용중단) (P) 바디 엠.디. 키트 (M.D.키트) 2종 (서울메이드) [200ml]</t>
  </si>
  <si>
    <t>MKTSWQS50</t>
  </si>
  <si>
    <t>(TS) 서울 워터인 퀀칭 세럼 [50ml]</t>
  </si>
  <si>
    <t>MKTSOTC150</t>
  </si>
  <si>
    <t>(TS) 서울 옥시젠 토닝 클렌저 [150g]</t>
  </si>
  <si>
    <t>MKTSETUS50</t>
  </si>
  <si>
    <t>(TS) 서울 엑토인 톤업 선세럼 50ml [50ml]</t>
  </si>
  <si>
    <t>MKTSEQC50</t>
  </si>
  <si>
    <t>(TS) 서울 엑토인 퀀칭 크림 [50ml]</t>
  </si>
  <si>
    <t>MKTSDR+B60</t>
  </si>
  <si>
    <t>(TS) 서울 더마인 리 + 베리어 [60ml]</t>
  </si>
  <si>
    <t>MKTSCS2201R</t>
  </si>
  <si>
    <t>(TA) 서울 에스테틱 쿠션 22호(리필) [15g]</t>
  </si>
  <si>
    <t>MKTSCS2201</t>
  </si>
  <si>
    <t>(TA) 서울 에스테틱 쿠션 22호 (NEW) [15g]</t>
  </si>
  <si>
    <t>MKTSCS2101</t>
  </si>
  <si>
    <t>(TA) 서울 에스테틱 쿠션 21호 (신형) [15g/5중퍼프]</t>
  </si>
  <si>
    <t>MKTSCS2101R</t>
  </si>
  <si>
    <t>(TA) 서울 에스테틱 쿠션 21호 (리필) [15g]</t>
  </si>
  <si>
    <t>MKTSKIT1</t>
  </si>
  <si>
    <t>(P) 서울 톤업 선세럼 키트 1개 + 옥시젠 토닝 클레저 키트 1개 [1개+1개]</t>
  </si>
  <si>
    <t>MKTSTSMASK1202EA</t>
  </si>
  <si>
    <t>(P) 서울 토닝 세럼 마스크(100매입) 2개 [120ml*2ea]</t>
  </si>
  <si>
    <t>MKTSCS22OTC150</t>
  </si>
  <si>
    <t>(P) 서울 쿠션 22호 + 옥시젠 클렌저 세트 [15g+150g]</t>
  </si>
  <si>
    <t>MKTSCS21OTC150</t>
  </si>
  <si>
    <t>(P) 서울 쿠션 21호 + 옥시젠 클렌저 세트 [15g+150g]</t>
  </si>
  <si>
    <t>MKTSWQS50EQC50-4</t>
  </si>
  <si>
    <t>(P) 서울 워터인 퀀칭 세럼+엑토인 퀀칭 크림 세트 4개 [50ml+50ml*4개]</t>
  </si>
  <si>
    <t>MKTSWQS50EQC50-3</t>
  </si>
  <si>
    <t>(P) 서울 워터인 퀀칭 세럼+엑토인 퀀칭 크림 세트 3개 [50ml+50ml*3개]</t>
  </si>
  <si>
    <t>MKTSWQS50EQC50</t>
  </si>
  <si>
    <t>(P) 서울 워터인 퀀칭 세럼+엑토인 퀀칭 크림 세트 [50ml+50ml]</t>
  </si>
  <si>
    <t>MKTSOTC1501-KIT1</t>
  </si>
  <si>
    <t>(P) 서울 옥시젠 토닝 클렌저 본품+키트 [150g+kit]</t>
  </si>
  <si>
    <t>MKTSOTC150-3</t>
  </si>
  <si>
    <t>(P) 서울 옥시젠 토닝 클렌저 3개 세트 [150g*3개]</t>
  </si>
  <si>
    <t>MKTSOTC150-2</t>
  </si>
  <si>
    <t>(P) 서울 옥시젠 토닝 클렌저 2개 세트 [150g*2개]</t>
  </si>
  <si>
    <t>MKTSETUS50-1</t>
  </si>
  <si>
    <t>(P) 서울 엑토인 톤업 선세럼 50ml (첫구매50%할인) [50ml]</t>
  </si>
  <si>
    <t>MKTSETUS50-4</t>
  </si>
  <si>
    <t>(P) 서울 엑토인 톤업 선세럼 4개 SET [50ml*4set]</t>
  </si>
  <si>
    <t>MKTSETUS50-3</t>
  </si>
  <si>
    <t>(P) 서울 엑토인 톤업 선세럼 3개 SET [50ml*3set]</t>
  </si>
  <si>
    <t>MKTSETUS50-2</t>
  </si>
  <si>
    <t>(P) 서울 엑토인 톤업 선세럼 2개 SET [50ml*2set]</t>
  </si>
  <si>
    <t>MKTSETUS50OTC150</t>
  </si>
  <si>
    <t>(P) 서울 엑토인 톤업 선세럼 1개 + 옥시젠 토닝 클렌저 1개 [50ml+150ml]</t>
  </si>
  <si>
    <t>MKTSETUS50CS22</t>
  </si>
  <si>
    <t>(P) 서울 엑토인 톤업 선세럼 1개 + 서울쿠션 22호 1개 [50ml+15g]</t>
  </si>
  <si>
    <t>MKTSETUS50CS21</t>
  </si>
  <si>
    <t>(P) 서울 엑토인 톤업 선세럼 1개 + 서울쿠션 21호 1개 [50ml+15g]</t>
  </si>
  <si>
    <t>MKTSETUS50TAEBH15</t>
  </si>
  <si>
    <t>(P) 서울 엑토인 톤업 선세럼 1개 + 비비크림 H 1개 [50ml+15ml]</t>
  </si>
  <si>
    <t>MKTSETUS50TAEBA15</t>
  </si>
  <si>
    <t>(P) 서울 엑토인 톤업 선세럼 1개 + 비비크림 A 1개 [50ml+15ml]</t>
  </si>
  <si>
    <t>MKTSCS2201-2-R4</t>
  </si>
  <si>
    <t>(P) 서울 에스테틱 쿠션 22호2개 + 리필 22호 4개</t>
  </si>
  <si>
    <t>MKTSCS2201-R2</t>
  </si>
  <si>
    <t>(P) 서울 에스테틱 쿠션 22호+ 리필 22호 2개</t>
  </si>
  <si>
    <t>MKTSCS2201-R1</t>
  </si>
  <si>
    <t>(P) 서울 에스테틱 쿠션 22호+ 리필 22호 1개</t>
  </si>
  <si>
    <t>AC00005-P88/6</t>
  </si>
  <si>
    <t>(P) 서울 에스테틱 쿠션 22호 6개 [15g*6개]</t>
  </si>
  <si>
    <t>MKTSCS2201-3</t>
  </si>
  <si>
    <t>(P) 서울 에스테틱 쿠션 22호 3개 [15g*3개]</t>
  </si>
  <si>
    <t>AC00005-P88/2</t>
  </si>
  <si>
    <t>(P) 서울 에스테틱 쿠션 22호 2개 [15g+15g]</t>
  </si>
  <si>
    <t>MKTSCS2101-2-R4</t>
  </si>
  <si>
    <t>(P) 서울 에스테틱 쿠션 21호2개 + 리필 21호 4개</t>
  </si>
  <si>
    <t>MKTSCS2101-R2</t>
  </si>
  <si>
    <t>(P) 서울 에스테틱 쿠션 21호+ 리필 21호 2개</t>
  </si>
  <si>
    <t>MKTSCS2101-R1</t>
  </si>
  <si>
    <t>(P) 서울 에스테틱 쿠션 21호+ 리필 21호 1개</t>
  </si>
  <si>
    <t>AC00006-P88/6</t>
  </si>
  <si>
    <t>(P) 서울 에스테틱 쿠션 21호 6개 [15g*6개]</t>
  </si>
  <si>
    <t>AC00006-P88/33</t>
  </si>
  <si>
    <t>(P) 서울 에스테틱 쿠션 21호 3개 + 22호 3개 [15g*3개 + 15g*3개]</t>
  </si>
  <si>
    <t>MKTSCS2101-3</t>
  </si>
  <si>
    <t>(P) 서울 에스테틱 쿠션 21호 3개 [15g*3개]</t>
  </si>
  <si>
    <t>AC00006-P88/1</t>
  </si>
  <si>
    <t>(P) 서울 에스테틱 쿠션 21호 2개 [15g+15g]</t>
  </si>
  <si>
    <t>MKTSCS2122-R4</t>
  </si>
  <si>
    <t>(P) 서울 에스테틱 쿠션 21호 1개 + 21호 리필 2개 + 22호 1개 + 22호 리필 2개</t>
  </si>
  <si>
    <t>AC00006-P88/2</t>
  </si>
  <si>
    <t>(P) 서울 에스테틱 쿠션 21호 + 22호 [15g+15g]</t>
  </si>
  <si>
    <t>MKTSDR+B60-2</t>
  </si>
  <si>
    <t>(P) 서울 더마인 리 + 베리어 1+1 [60ml+60ml]</t>
  </si>
  <si>
    <t>MKBTHC30</t>
  </si>
  <si>
    <t>(BT) 힐링 캡슐 [2ea]</t>
  </si>
  <si>
    <t>뷰티툴</t>
  </si>
  <si>
    <t>MKBTCSPFR10</t>
  </si>
  <si>
    <t>(BT) 트로이아르케쿠션 공용 퍼프 10개입(말랑이) [10개]</t>
  </si>
  <si>
    <t>MKBTTAHP</t>
  </si>
  <si>
    <t>(BT) 트로이아르케 힐링퍼프 [10pcs]</t>
  </si>
  <si>
    <t>MKBTTASB</t>
  </si>
  <si>
    <t>(BT) 트로이아르케 실리콘 브러쉬</t>
  </si>
  <si>
    <t>MKBTSHB04</t>
  </si>
  <si>
    <t>(BT) 트로이아르케 쇼핑백(소) [소(200*95*240)]</t>
  </si>
  <si>
    <t>MKBTAPSHB03</t>
  </si>
  <si>
    <t>(BT) 트로이아르케 쇼핑백 (중) [300*130*270]</t>
  </si>
  <si>
    <t>MKBT1HB100</t>
  </si>
  <si>
    <t>(BT) 에스테틱 일회용해면 본품 [50pcs*2]</t>
  </si>
  <si>
    <t>MKBTPPB</t>
  </si>
  <si>
    <t>(BT) 악센 퍼플 백 [27*21*8]</t>
  </si>
  <si>
    <t>MKBTLCYL</t>
  </si>
  <si>
    <t>(BT) 리프팅컵(옐로)</t>
  </si>
  <si>
    <t>MKBTLCBL</t>
  </si>
  <si>
    <t>(BT) 리프팅컵(블루)</t>
  </si>
  <si>
    <t>MKBTLCRED</t>
  </si>
  <si>
    <t>(BT) 리프팅컵(레드)</t>
  </si>
  <si>
    <t>MKBTLCGR</t>
  </si>
  <si>
    <t>(BT) 리프팅컵(그린)</t>
  </si>
  <si>
    <t>MKBTDHP80</t>
  </si>
  <si>
    <t>(BT) 대나무 힐링 패드 [80개입]</t>
  </si>
  <si>
    <t>MKBTSHB03</t>
  </si>
  <si>
    <t>(BT) PVC 쇼핑백 [370*300*135mm/두께 0.5T]</t>
  </si>
  <si>
    <t>MKMMSHB03</t>
  </si>
  <si>
    <t>(BT) 밀리맘 쇼핑백(신형) [300*130*280]</t>
  </si>
  <si>
    <t>밀리맘</t>
  </si>
  <si>
    <t>MKMMLC00</t>
  </si>
  <si>
    <t>(부자재) 밀리맘 새싹 공용 로션캡 [24파이, 백색]</t>
  </si>
  <si>
    <t>MMONC150-1</t>
  </si>
  <si>
    <t>(P) 밀리타임 오일앤크림 2개 [150ml+150ml]</t>
  </si>
  <si>
    <t>MKMMSWSLGIFTKIT-OT</t>
  </si>
  <si>
    <t>(P) 밀리맘 워시&amp;로션 기프트 세트 + 수딩세럼200ml + 오일앤크림 100ml +아토크림 100ml</t>
  </si>
  <si>
    <t>MKMMSWSLGIFTKIT</t>
  </si>
  <si>
    <t>(P) 밀리맘 워시&amp;로션 기프트 세트 [워시300ml+로션300ml+ 미니어처 3종]</t>
  </si>
  <si>
    <t>MKMMSWSLGIFTKIT-2</t>
  </si>
  <si>
    <t>(P) 밀리맘 워시&amp;로션 기프트 2세트 [워시300ml+로션300ml+ 미니어처 3종 2세트]</t>
  </si>
  <si>
    <t>MKMMONCGIFTKIT2</t>
  </si>
  <si>
    <t>(P) 밀리맘 오일앤크림 기프트 세트(100ml+60ml) [오일앤크림100ml+오일앤크림 60ml]</t>
  </si>
  <si>
    <t>MKMMONCGIFTKIT</t>
  </si>
  <si>
    <t>(P) 밀리맘 오일앤크림 기프트 세트 (100ml) [오일앤크림100ml+워시50ml+로션30ml]</t>
  </si>
  <si>
    <t>MKMMHIBC1SW1SL1ONC1</t>
  </si>
  <si>
    <t>(P) 밀리맘 엉덩이클렌저+워시+로션+오일 [300ml+300ml+300ml+100ml]</t>
  </si>
  <si>
    <t>MKMMSWNL15-P88-1</t>
  </si>
  <si>
    <t>(P) 밀리맘 새싹 트래블키트 + 파우치 [1ea+1매]</t>
  </si>
  <si>
    <t>MKMMSWNL15TESTKIT3</t>
  </si>
  <si>
    <t>(P) 밀리맘 새싹 트래블키트 + 에센셜 키트 3개 [1ea+3개]</t>
  </si>
  <si>
    <t>MMSW200-P88-1</t>
  </si>
  <si>
    <t>(P) 밀리맘 새싹 워시+워시 [200ml*2]</t>
  </si>
  <si>
    <t>MKMMSW1ONC2</t>
  </si>
  <si>
    <t>(P) 밀리맘 새싹 워시+오일앤크림100ml 2개 [300ml+100ml*2개]</t>
  </si>
  <si>
    <t>MKMMSW1ONC1</t>
  </si>
  <si>
    <t>(P) 밀리맘 새싹 워시+오일앤크림 [300ml+100ml]</t>
  </si>
  <si>
    <t>MKMMSW1L1ONC1</t>
  </si>
  <si>
    <t>(P) 밀리맘 새싹 워시+로션+오일앤크림 [300ml+300ml+100ml]</t>
  </si>
  <si>
    <t>MKMMSW1L1ATOC1</t>
  </si>
  <si>
    <t>(P) 밀리맘 새싹 워시+로션+아토크림 [300ml+300ml+100ml]</t>
  </si>
  <si>
    <t>MKMMSW1L1S2</t>
  </si>
  <si>
    <t>(P) 밀리맘 새싹 워시+로션+수딩세럼2개 [300ml+300ml+200ml*2개]</t>
  </si>
  <si>
    <t>MKMMSW1L1S1ONC1</t>
  </si>
  <si>
    <t>(P) 밀리맘 새싹 워시+로션+수딩세럼+오일앤크림 [300ml+300ml+200ml+100ml]</t>
  </si>
  <si>
    <t>MKMMSW1L1S1</t>
  </si>
  <si>
    <t>(P) 밀리맘 새싹 워시+로션+수딩세럼 [300ml+300ml+200ml]</t>
  </si>
  <si>
    <t>MKMMSW1L1</t>
  </si>
  <si>
    <t>(P) 밀리맘 새싹 워시+로션 [300ml+300ml]</t>
  </si>
  <si>
    <t>MMSW200-P88-2</t>
  </si>
  <si>
    <t>(P) 밀리맘 새싹 워시+로션 [200ml*2]</t>
  </si>
  <si>
    <t>MKMMSW1S1SL150O1</t>
  </si>
  <si>
    <t>(P) 밀리맘 새싹 워시+ 수딩세럼 + 로션 150ml + 오일앤크림 [300ml+200ml+150ml+100ml]</t>
  </si>
  <si>
    <t>MKMMSW1S1SL150</t>
  </si>
  <si>
    <t>(P) 밀리맘 새싹 워시+ 수딩세럼 + 로션 150ml [300ml+200ml+150ml]</t>
  </si>
  <si>
    <t>MMSSWLS-P88-1</t>
  </si>
  <si>
    <t>(P) 밀리맘 새싹 워시, 로션, 수딩세럼 [3ea]</t>
  </si>
  <si>
    <t>MKMMSW200-P88-6</t>
  </si>
  <si>
    <t>(P) 밀리맘 새싹 워시 4+1 [200ml]</t>
  </si>
  <si>
    <t>MKMMSW300-5</t>
  </si>
  <si>
    <t>(P) 밀리맘 새싹 워시 300ml 5개 [300ml*5]</t>
  </si>
  <si>
    <t>MKMMSW300-4</t>
  </si>
  <si>
    <t>(P) 밀리맘 새싹 워시 300ml 4개 [300ml*4]</t>
  </si>
  <si>
    <t>MKMMSW300-3</t>
  </si>
  <si>
    <t>(P) 밀리맘 새싹 워시 300ml 3개 [300ml*3]</t>
  </si>
  <si>
    <t>MKMMSW300-2</t>
  </si>
  <si>
    <t>(P) 밀리맘 새싹 워시 300ml 2개 [300ml*2]</t>
  </si>
  <si>
    <t>MKMMSW2L2</t>
  </si>
  <si>
    <t>(P) 밀리맘 새싹 워시 2개+로션 2개 [300ml*2+300ml*2]</t>
  </si>
  <si>
    <t>MKMMSW1S2SL1</t>
  </si>
  <si>
    <t>(P) 밀리맘 새싹 워시 + 수딩세럼 2개 + 로션 [300ml+200ml*2개+ 300ml]</t>
  </si>
  <si>
    <t>MKMMSW1S2</t>
  </si>
  <si>
    <t>(P) 밀리맘 새싹 워시 + 수딩세럼 2개 [300ml+200ml*2개]</t>
  </si>
  <si>
    <t>MKMMSW1S1</t>
  </si>
  <si>
    <t>(P) 밀리맘 새싹 워시 + 수딩세럼 [300ml+200ml]</t>
  </si>
  <si>
    <t>MKMMSW1HIBC2</t>
  </si>
  <si>
    <t>(P) 밀리맘 새싹 워시 + 베이비 힙 버블 클렌저 2개 [300ml+300ml*2개]</t>
  </si>
  <si>
    <t>MKMMSW1HIBC1</t>
  </si>
  <si>
    <t>(P) 밀리맘 새싹 워시 + 베이비 힙 버블 클렌저 [300ml+300ml]</t>
  </si>
  <si>
    <t>MKMMSATOC100-7</t>
  </si>
  <si>
    <t>(P) 밀리맘 새싹 아토크림 7개 [100ml*7]</t>
  </si>
  <si>
    <t>MKMMSATOC100-5</t>
  </si>
  <si>
    <t>(P) 밀리맘 새싹 아토크림 5개 [100ml*5]</t>
  </si>
  <si>
    <t>MKMMSATOC100-3</t>
  </si>
  <si>
    <t>(P) 밀리맘 새싹 아토크림 3개 [100ml*3]</t>
  </si>
  <si>
    <t>MKMMSATOC100-2</t>
  </si>
  <si>
    <t>(P) 밀리맘 새싹 아토크림 2개 [100ml*2]</t>
  </si>
  <si>
    <t>MKMMSATOC2SS1</t>
  </si>
  <si>
    <t>(P) 밀리맘 새싹 아토크림 100ml*2개 + 수딩세럼 200ml [100ml*2개 +200ml]</t>
  </si>
  <si>
    <t>MKMMSATOC4SL1</t>
  </si>
  <si>
    <t>(P) 밀리맘 새싹 아토크림 100ml* 4개 + 로션 300ml [100ml*4개 +300ml]</t>
  </si>
  <si>
    <t>MKMMSATOC100-2-ONC1</t>
  </si>
  <si>
    <t>(P) 밀리맘 새싹 아토크림 100ml 2개+오일앤크림 100ml 1개 [100ml*2+100ml1]</t>
  </si>
  <si>
    <t>MKMMSATOC1SL1W1ONC1S</t>
  </si>
  <si>
    <t>(P) 밀리맘 새싹 아토크림 100ml +로션 300ml +워시 300ml + 오일앤크림 100ml + 수딩세럼 200ml</t>
  </si>
  <si>
    <t>MKMMSATOC1SL1W1SS1</t>
  </si>
  <si>
    <t>(P) 밀리맘 새싹 아토크림 100ml +로션 300ml +워시 300m + 수딩세럼 200ml</t>
  </si>
  <si>
    <t>MKMMSATOC1SW1</t>
  </si>
  <si>
    <t>(P) 밀리맘 새싹 아토크림 100ml + 워시 300ml [100ml+300ml]</t>
  </si>
  <si>
    <t>MKMMSATOC1ONC60</t>
  </si>
  <si>
    <t>(P) 밀리맘 새싹 아토크림 100ml + 오일앤크림 60ml [100ml+60ml]</t>
  </si>
  <si>
    <t>MKMMSATOC1ONC1</t>
  </si>
  <si>
    <t>(P) 밀리맘 새싹 아토크림 100ml + 오일앤크림 100ml [100ml+100ml]</t>
  </si>
  <si>
    <t>MKMMSATOC1SS2</t>
  </si>
  <si>
    <t>(P) 밀리맘 새싹 아토크림 100ml + 수딩세럼 200ml*2개 [100ml+200ml*2개]</t>
  </si>
  <si>
    <t>MKMMSATOC1SS1</t>
  </si>
  <si>
    <t>(P) 밀리맘 새싹 아토크림 100ml + 수딩세럼 200ml [100ml+200ml]</t>
  </si>
  <si>
    <t>MKMMSATOC1SL1</t>
  </si>
  <si>
    <t>(P) 밀리맘 새싹 아토크림 100ml + 로션 300ml [100ml+300ml]</t>
  </si>
  <si>
    <t>MKMMSATOC1SL150</t>
  </si>
  <si>
    <t>(P) 밀리맘 새싹 아토크림 100ml + 로션 150ml [100ml+150ml]</t>
  </si>
  <si>
    <t>MMSS150-P88-2</t>
  </si>
  <si>
    <t>(P) 밀리맘 새싹 수딩세럼1개+ 로션 1개</t>
  </si>
  <si>
    <t>MKMMS1L1</t>
  </si>
  <si>
    <t>(P) 밀리맘 새싹 수딩세럼+로션 [200ml+300ml]</t>
  </si>
  <si>
    <t>MMSW200-P88-6</t>
  </si>
  <si>
    <t>(P) 밀리맘 새싹 수딩세럼 4개 + 1개 [150ml*5ea]</t>
  </si>
  <si>
    <t>MKMMS2L2</t>
  </si>
  <si>
    <t>(P) 밀리맘 새싹 수딩세럼 2개+로션 2개 [200ml 2개+300ml 2개]</t>
  </si>
  <si>
    <t>MKMMSSS200-2</t>
  </si>
  <si>
    <t>(P) 밀리맘 새싹 수딩세럼 200ml 2개 [200ml*2]</t>
  </si>
  <si>
    <t>MKMMS1ONC1</t>
  </si>
  <si>
    <t>(P) 밀리맘 새싹 수딩세럼 +오일앤크림 [200ml+100ml]</t>
  </si>
  <si>
    <t>MKMMS1HIBC1</t>
  </si>
  <si>
    <t>(P) 밀리맘 새싹 수딩세럼 + 베이비 힙 버블 클렌저 [200ml+300ml]</t>
  </si>
  <si>
    <t>MKMMMINI3SET</t>
  </si>
  <si>
    <t>(P) 밀리맘 새싹 미니어처 3종 세트 [50ml*30ml*30ml]</t>
  </si>
  <si>
    <t>MMSL200-P88/2</t>
  </si>
  <si>
    <t>(P) 밀리맘 새싹 로션 5개 [200*5]</t>
  </si>
  <si>
    <t>MKMMSL1ONC1</t>
  </si>
  <si>
    <t>(P) 밀리맘 새싹 로션 300ml+오일앤크림 [300ml+100ml]</t>
  </si>
  <si>
    <t>MKMMSL300-3</t>
  </si>
  <si>
    <t>(P) 밀리맘 새싹 로션 300ml 3개 [300ml*3]</t>
  </si>
  <si>
    <t>MKMMSL300-2</t>
  </si>
  <si>
    <t>(P) 밀리맘 새싹 로션 300ml 2개 [300ml*2]</t>
  </si>
  <si>
    <t>MKMMSL2TYPE</t>
  </si>
  <si>
    <t>(P) 밀리맘 새싹 로션 2종(300ml+150ml) [300ml+150ml]</t>
  </si>
  <si>
    <t>MKMMSL1SL150S1ONC1</t>
  </si>
  <si>
    <t>(P) 밀리맘 새싹 로션 2종(150+300ml) + 수딩세럼 + 오일앤크림 [로션(150ml+300ml)+200ml+100ml]</t>
  </si>
  <si>
    <t>MMSL200-P88-1</t>
  </si>
  <si>
    <t>(P) 밀리맘 새싹 로션 2개 [200ml*2]</t>
  </si>
  <si>
    <t>MKMMSL150-4-S</t>
  </si>
  <si>
    <t>(P) 밀리맘 새싹 로션 150ml 4개 + 수딩세럼 [150ml*4개 + 200ml]</t>
  </si>
  <si>
    <t>MKMMSL150-3</t>
  </si>
  <si>
    <t>(P) 밀리맘 새싹 로션 150ml 3개 [150ml*3개]</t>
  </si>
  <si>
    <t>MKMMSL150-2</t>
  </si>
  <si>
    <t>(P) 밀리맘 새싹 로션 150ml 2개 [150ml*2개]</t>
  </si>
  <si>
    <t>MKMMSL150ONC1</t>
  </si>
  <si>
    <t>(P) 밀리맘 새싹 로션 150ml +오일앤크림 [150ml+100ml]</t>
  </si>
  <si>
    <t>MKMMSL150HIBC1</t>
  </si>
  <si>
    <t>(P) 밀리맘 새싹 로션 150ml + 힙클렌저 300ml [150ml+300ml]</t>
  </si>
  <si>
    <t>MKMMSL150S1</t>
  </si>
  <si>
    <t>(P) 밀리맘 새싹 로션 150ml + 수딩세럼 [150ml 1개 + 200ml 1개]</t>
  </si>
  <si>
    <t>MKMMHIBC300-5</t>
  </si>
  <si>
    <t>(P) 밀리맘 베이비 힙 버블 클렌저 5개 [300ml*5]</t>
  </si>
  <si>
    <t>MKMMHIBC300-3</t>
  </si>
  <si>
    <t>(P) 밀리맘 베이비 힙 버블 클렌저 3개 [300ml*3]</t>
  </si>
  <si>
    <t>MKMMHIBC300-2</t>
  </si>
  <si>
    <t>(P) 밀리맘 베이비 힙 버블 클렌저 2개 세트 [300ml*2]</t>
  </si>
  <si>
    <t>MKMMHIBC1ONC1</t>
  </si>
  <si>
    <t>(P) 밀리맘 베이비 힙 버블 클렌저 +오일앤크림 [300ml+100ml]</t>
  </si>
  <si>
    <t>MKMMHIBC1SS2</t>
  </si>
  <si>
    <t>(P) 밀리맘 베이비 힙 버블 클렌저 + 수딩세럼 200ml 2개 [300ml+200ml*2개]</t>
  </si>
  <si>
    <t>MKMMHIBC300SS150</t>
  </si>
  <si>
    <t>(P) 밀리맘 베이비 힙 버블 클렌저 + 수딩세럼 150ml [300ml*150ml]</t>
  </si>
  <si>
    <t>MKMMHIBC1SS1OTC1</t>
  </si>
  <si>
    <t>(P) 밀리맘 베이비 힙 버블 클렌저 + 수딩세럼 + 아토크림 [300ml+200ml+100ml]</t>
  </si>
  <si>
    <t>MKMMHIBCSL1</t>
  </si>
  <si>
    <t>(P) 밀리맘 베이비 힙 버블 클렌저 + 로션300ml [300ml+300ml]</t>
  </si>
  <si>
    <t>MKMMHIBC300-1</t>
  </si>
  <si>
    <t>(P) 밀리맘 베이비 힙 버블 클렌저 (특수용) [300ml]</t>
  </si>
  <si>
    <t>MKMMONC60-2</t>
  </si>
  <si>
    <t>(P) 밀리맘 밀리타임 오일앤크림 60ml 2개 [60ml*2]</t>
  </si>
  <si>
    <t>MKMMONC3SL150</t>
  </si>
  <si>
    <t>(P) 밀리맘 밀리타임 오일앤크림 3개 + 로션150ml 1개 [100ml*3개 + 150ml*1개]</t>
  </si>
  <si>
    <t>MKMMONC100-4</t>
  </si>
  <si>
    <t>(P) 밀리맘 밀리타임 오일앤크림 100ml 4개 [100ml*4]</t>
  </si>
  <si>
    <t>MKMMONC100-2</t>
  </si>
  <si>
    <t>(P) 밀리맘 밀리타임 오일앤크림 100ml 2개 [100ml*2]</t>
  </si>
  <si>
    <t>MMONC150-P88-2</t>
  </si>
  <si>
    <t>(P) 8. 밀리맘 오일앤크림1개 +워시1개 +로션1개 + 수딩세럼1개 [150ml, 200ml, 200ml, 150ml]</t>
  </si>
  <si>
    <t>MMONC150-P88</t>
  </si>
  <si>
    <t>(P) 4.밀리맘 새싹로션1개+ 오일앤크림 1개</t>
  </si>
  <si>
    <t>MMSS150-P88</t>
  </si>
  <si>
    <t>(P) 2.밀리맘 새싹 수딩세럼 2개 [150ml*2]</t>
  </si>
  <si>
    <t>MKMMONC60</t>
  </si>
  <si>
    <t>(MM) 밀리타임 오일앤크림 60ml [60ml]</t>
  </si>
  <si>
    <t>MKMMONC100</t>
  </si>
  <si>
    <t>(MM) 밀리타임 오일앤크림 100ml [100ml]</t>
  </si>
  <si>
    <t>MKMMONC150</t>
  </si>
  <si>
    <t>(MM) 밀리타임 오일앤크림 [150ml]</t>
  </si>
  <si>
    <t>MKMMEWMS50</t>
  </si>
  <si>
    <t>(MM) 밀리맘 이지워시 마일드 선크림 50ml [50ml]</t>
  </si>
  <si>
    <t>MKBTMM03</t>
  </si>
  <si>
    <t>(MM) 밀리맘 유기농 턱받이</t>
  </si>
  <si>
    <t>MKMMTESTKIT02</t>
  </si>
  <si>
    <t>(MM) 밀리맘 에센셜 키트 (5종) [2ml*8]</t>
  </si>
  <si>
    <t>MKBTMM10</t>
  </si>
  <si>
    <t>(MM) 밀리맘 아기 가운</t>
  </si>
  <si>
    <t>MKMMSSS200</t>
  </si>
  <si>
    <t>(MM) 밀리맘 새싹수딩세럼 200ml [200ml]</t>
  </si>
  <si>
    <t>MKMMSSS150</t>
  </si>
  <si>
    <t>(MM) 밀리맘 새싹수딩세럼 [150ml]</t>
  </si>
  <si>
    <t>MKMMSWNL15</t>
  </si>
  <si>
    <t>(MM) 밀리맘 새싹 워시&amp;로션 (트래블키트) [15ml+15ml]</t>
  </si>
  <si>
    <t>MKMMSW300</t>
  </si>
  <si>
    <t>(MM) 밀리맘 새싹 워시 300ml [300ml]</t>
  </si>
  <si>
    <t>MKMMSW200</t>
  </si>
  <si>
    <t>(MM) 밀리맘 새싹 워시 [200ml]</t>
  </si>
  <si>
    <t>MKMMSATOC100</t>
  </si>
  <si>
    <t>(MM) 밀리맘 새싹 아토크림 100ml [100ml]</t>
  </si>
  <si>
    <t>MKMMSL300</t>
  </si>
  <si>
    <t>(MM) 밀리맘 새싹 로션 300ml [300ml]</t>
  </si>
  <si>
    <t>MKMMSL150</t>
  </si>
  <si>
    <t>(MM) 밀리맘 새싹 로션 150ml [150ml]</t>
  </si>
  <si>
    <t>MKMMSL200</t>
  </si>
  <si>
    <t>(MM) 밀리맘 새싹 로션 [200ml]</t>
  </si>
  <si>
    <t>MKMMHIBC300</t>
  </si>
  <si>
    <t>(MM) 밀리맘 베이비 힙 버블 클렌저 (구명칭 : 아기엉덩이클렌저 [300ml]</t>
  </si>
  <si>
    <t>MKMMTESTKITONC5</t>
  </si>
  <si>
    <t>(MM) 밀리맘 마더 벨리케어 키트(오일앤크림키트) [2ml*2ml 5매입]</t>
  </si>
  <si>
    <t>세트코드</t>
  </si>
  <si>
    <t>세트명</t>
  </si>
  <si>
    <t>구성품코드</t>
  </si>
  <si>
    <t>구성품명</t>
  </si>
  <si>
    <t>세트1개당 실물수량</t>
  </si>
  <si>
    <t>세트1개당 정산수량</t>
  </si>
  <si>
    <t>매출배분비율</t>
  </si>
  <si>
    <t>매칭상태</t>
  </si>
  <si>
    <t>비고</t>
  </si>
  <si>
    <t>80ml</t>
  </si>
  <si>
    <t>검토필요</t>
  </si>
  <si>
    <t>혼합세트는 기본적으로 균등배분. 필요시 비율 조정 / ????? ???? ??</t>
  </si>
  <si>
    <t>구성요소 자동인식 실패 / ????? ???? ??</t>
  </si>
  <si>
    <t>(TA) 하이드라 퀀칭 앰플 크림</t>
  </si>
  <si>
    <t>과거매핑</t>
  </si>
  <si>
    <t>과거 허브 세트코드 매핑 재사용 / ????? ???? ??</t>
  </si>
  <si>
    <t>자동완료</t>
  </si>
  <si>
    <t>1+1 자동인식 / ????? ???? ??</t>
  </si>
  <si>
    <t>(TA) 티-레스큐 앰플 크림</t>
  </si>
  <si>
    <t>과거 허브 세트코드 매핑 재사용</t>
  </si>
  <si>
    <t>과거 허브 세트코드 매핑 재사용 / ????? ?? ?? 2 / ?? 1 ?? ??</t>
  </si>
  <si>
    <t>과거 허브 세트코드 매핑 재사용 / ????? ?? ?? 3 / ?? 1 ?? ??</t>
  </si>
  <si>
    <t>MKBT1HB50</t>
  </si>
  <si>
    <t>(BT) 에스테틱 일회용해면 리필</t>
  </si>
  <si>
    <t>3+3 자동인식 / ????? ???? ??</t>
  </si>
  <si>
    <t>1+1 자동인식 / 이름유사도매칭 / ????? ???? ??</t>
  </si>
  <si>
    <t>MKTAALEC13</t>
  </si>
  <si>
    <t>(TA) 안티링클아이크림 [13ml]</t>
  </si>
  <si>
    <t>(TA) 안티링클 콜라겔 아이패치</t>
  </si>
  <si>
    <t>200ml</t>
  </si>
  <si>
    <t>혼합세트는 기본적으로 균등배분. 필요시 비율 조정</t>
  </si>
  <si>
    <t>3SET 자동인식 / ????? ???? ??</t>
  </si>
  <si>
    <t>6+6 자동인식 / ????? ???? ??</t>
  </si>
  <si>
    <t>(AC) 악센 센 앰플(new)</t>
  </si>
  <si>
    <t>과거 허브 세트코드 매핑 재사용 / ????? ?? ?? 1 / ?? 1 ?? ??</t>
  </si>
  <si>
    <t>MKACSENAP</t>
  </si>
  <si>
    <t>(TA) 악센 센앰플 미라클 키트 1ml*10개입</t>
  </si>
  <si>
    <t>혼합세트는 기본적으로 균등배분. 필요시 비율 조정 / ????? ?? ?? 12 / ?? 6 ?? ??</t>
  </si>
  <si>
    <t>혼합세트는 기본적으로 균등배분. 필요시 비율 조정 / ????? ?? ?? 6 / ?? 3 ?? ??</t>
  </si>
  <si>
    <t>혼합세트는 기본적으로 균등배분. 필요시 비율 조정 / ????? ?? ?? 2 / ?? 1 ?? ??</t>
  </si>
  <si>
    <t>(AC) 악센 AC스팟솔루션15ml</t>
  </si>
  <si>
    <t>????? ?? ?? ???? / ????? ???? ??</t>
  </si>
  <si>
    <t>(TA) 멜라-소닉 씨-인퓨저</t>
  </si>
  <si>
    <t>(TA) GPS 마스크 비타-토닝 2-스텝</t>
  </si>
  <si>
    <t>(TA) 멜라-소닉 씨-인퓨저(리뉴얼)</t>
  </si>
  <si>
    <t>과거 허브 세트코드 매핑 재사용 / ????? ?? ?? 3 / ?? 3 ?? ??</t>
  </si>
  <si>
    <t>(TA) PIT클렌징밀크 180ml</t>
  </si>
  <si>
    <t>70ml</t>
  </si>
  <si>
    <t>5+1 자동인식 / ????? ???? ??</t>
  </si>
  <si>
    <t>10+3 자동인식 / ????? ???? ??</t>
  </si>
  <si>
    <t>(TA) GPS마스크 - 레드 디-에이징</t>
  </si>
  <si>
    <t>(TA) AGT 하이드로 크림 25ml</t>
  </si>
  <si>
    <t>(TS) 서울 옥시젠 토닝 클렌저</t>
  </si>
  <si>
    <t>(TA) AGT™ 하이드로크림 80ml</t>
  </si>
  <si>
    <t>(TA) AGT하이드로 에센스</t>
  </si>
  <si>
    <t>기존입력값 활용 / 이름유사도매칭 / ????? ???? ??</t>
  </si>
  <si>
    <t>kit</t>
  </si>
  <si>
    <t>200mlmlml</t>
  </si>
  <si>
    <t>200mlml</t>
  </si>
  <si>
    <t>ea 자동인식 / 이름유사도매칭 / ????? ???? ??</t>
  </si>
  <si>
    <t>(TA) 서울 에스테틱 쿠션 22호(NEW) [15g]</t>
  </si>
  <si>
    <t>(TA) 서울 에스테틱 쿠션 21호 [15g]</t>
  </si>
  <si>
    <t>(TS) 서울 워터인 퀀칭 세럼</t>
  </si>
  <si>
    <t>(TS) 서울 엑토인 퀀칭 크림</t>
  </si>
  <si>
    <t>150g개</t>
  </si>
  <si>
    <t>4SET 자동인식 / ????? ???? ??</t>
  </si>
  <si>
    <t>(TS) 서울 엑토인 톤업 선세럼 50ml</t>
  </si>
  <si>
    <t>과거 허브 세트코드 매핑 재사용 / ????? ?? ?? 6 / ?? 1 ?? ??</t>
  </si>
  <si>
    <t>(TA) 서울 에스테틱 쿠션 22호(리필)</t>
  </si>
  <si>
    <t>15g개</t>
  </si>
  <si>
    <t>(TA) 서울 에스테틱 쿠션 21호 (리필)</t>
  </si>
  <si>
    <t>15g</t>
  </si>
  <si>
    <t>(TS) 서울 더마인 리 + 베리어</t>
  </si>
  <si>
    <t>150ml</t>
  </si>
  <si>
    <t>혼합세트는 기본적으로 균등배분. 필요시 비율 조정 / ????? ?? ?? 1 / ?? 1 ?? ??</t>
  </si>
  <si>
    <t>워시300ml</t>
  </si>
  <si>
    <t>로션300ml</t>
  </si>
  <si>
    <t>미니어처 3종</t>
  </si>
  <si>
    <t>혼합세트는 기본적으로 균등배분. 필요시 비율 조정 / ????? ?? ?? 2 / ?? 2 ?? ??</t>
  </si>
  <si>
    <t>미니어처 3종 2세트</t>
  </si>
  <si>
    <t>오일앤크림100ml</t>
  </si>
  <si>
    <t>오일앤크림 60ml</t>
  </si>
  <si>
    <t>워시50ml</t>
  </si>
  <si>
    <t>로션30ml</t>
  </si>
  <si>
    <t>300ml</t>
  </si>
  <si>
    <t>100ml</t>
  </si>
  <si>
    <t>1매</t>
  </si>
  <si>
    <t>100ml개</t>
  </si>
  <si>
    <t>혼합세트는 기본적으로 균등배분. 필요시 비율 조정 / ????? ?? ?? 3 / ?? 1 ?? ??</t>
  </si>
  <si>
    <t>혼합세트는 기본적으로 균등배분. 필요시 비율 조정 / ????? ?? ?? 4 / ?? 1 ?? ??</t>
  </si>
  <si>
    <t>200ml개</t>
  </si>
  <si>
    <t>4+1 자동인식 / 이름유사도매칭 / ????? ???? ??</t>
  </si>
  <si>
    <t>2+300 자동인식 / 이름유사도매칭 / ????? ???? ??</t>
  </si>
  <si>
    <t>300ml개</t>
  </si>
  <si>
    <t>2+100 자동인식 / 이름유사도매칭 / ????? ???? ??</t>
  </si>
  <si>
    <t>60ml</t>
  </si>
  <si>
    <t>50mlmlml</t>
  </si>
  <si>
    <t>200</t>
  </si>
  <si>
    <t>150+300 자동인식 / 이름유사도매칭 / ????? ???? ??</t>
  </si>
  <si>
    <t>150ml개</t>
  </si>
  <si>
    <t>300mlml</t>
  </si>
  <si>
    <t>150ml, 200ml, 200ml, 150ml</t>
  </si>
  <si>
    <t>15ml</t>
  </si>
  <si>
    <t>2mlml 5매입</t>
  </si>
  <si>
    <t>보고용상품명</t>
  </si>
  <si>
    <t>포함품목코드</t>
  </si>
  <si>
    <t>포함품목명</t>
  </si>
  <si>
    <t>매핑상태</t>
  </si>
  <si>
    <t>작성가이드</t>
  </si>
  <si>
    <t>미매핑</t>
  </si>
  <si>
    <t>같은 보고서 상품명으로 묶을 코드들에 A열 보고용상품명을 같게 입력하세요.</t>
  </si>
  <si>
    <t>예: (TA) H+ 칵테일 레디언스앵플(옐로우) [200ml] -&gt; 힐링칵테일</t>
  </si>
  <si>
    <t>계산 기준은 B열 포함품목코드를 쓰고, C열은 사람이 확인하는 용도입니다.</t>
  </si>
  <si>
    <t>용량만 다른 같은 제품은 A열에 같은 보고용상품명으로 통일해주세요.</t>
  </si>
  <si>
    <t>매핑이 끝난 행은 G열을 매핑완료로 바꾸면 필터하기 편합니다.</t>
  </si>
  <si>
    <t>(P) 힐링캡슐 + 대나무 힐링패드</t>
    <phoneticPr fontId="2" type="noConversion"/>
  </si>
  <si>
    <t>MKBTDHP80</t>
    <phoneticPr fontId="5" type="noConversion"/>
  </si>
  <si>
    <t>(BT) 대나무 힐링 패드 [80개입]</t>
    <phoneticPr fontId="5" type="noConversion"/>
  </si>
  <si>
    <t>MKBTHC30</t>
    <phoneticPr fontId="5" type="noConversion"/>
  </si>
  <si>
    <t>(BT) 힐링 캡슐 [2ea]</t>
    <phoneticPr fontId="5" type="noConversion"/>
  </si>
  <si>
    <t>MKTACSA2300</t>
    <phoneticPr fontId="5" type="noConversion"/>
  </si>
  <si>
    <t>MKTACSA2100</t>
    <phoneticPr fontId="5" type="noConversion"/>
  </si>
  <si>
    <t>(TA) 트로이아르케 쿠션 A+ 21호 [15g]</t>
    <phoneticPr fontId="5" type="noConversion"/>
  </si>
  <si>
    <t>MKTAEC125</t>
    <phoneticPr fontId="5" type="noConversion"/>
  </si>
  <si>
    <t>(TA) 에너지크림 [125ml]</t>
    <phoneticPr fontId="5" type="noConversion"/>
  </si>
  <si>
    <t>MKACSENA35-1</t>
    <phoneticPr fontId="5" type="noConversion"/>
  </si>
  <si>
    <t>(AC) 악센 센 앰플(new)</t>
    <phoneticPr fontId="5" type="noConversion"/>
  </si>
  <si>
    <t>MKTAALEC13</t>
    <phoneticPr fontId="5" type="noConversion"/>
  </si>
  <si>
    <t>(TA) 안티링클아이크림 13ml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</si>
</sst>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color rgb="FFFFFFFF"/>
      <name val="맑은 고딕"/>
      <family val="3"/>
      <charset val="129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1" fontId="0" fillId="0" borderId="0" xfId="0" applyNumberFormat="1"/>
    <xf numFmtId="0" fontId="3" fillId="3" borderId="0" xfId="0" applyFont="1" applyFill="1" applyAlignment="1">
      <alignment horizontal="center" vertical="center"/>
    </xf>
    <xf numFmtId="0" fontId="4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3"/>
  <sheetViews>
    <sheetView workbookViewId="0">
      <pane ySplit="1" topLeftCell="A110" activePane="bottomLeft" state="frozen"/>
      <selection pane="bottomLeft" activeCell="A132" sqref="A132:G132"/>
    </sheetView>
  </sheetViews>
  <sheetFormatPr defaultRowHeight="16.5" x14ac:dyDescent="0.3"/>
  <cols>
    <col min="1" max="1" width="22" customWidth="1"/>
    <col min="2" max="2" width="42" customWidth="1"/>
    <col min="3" max="5" width="10" customWidth="1"/>
    <col min="6" max="6" width="12" customWidth="1"/>
    <col min="7" max="10" width="10" customWidth="1"/>
    <col min="11" max="11" width="14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>
        <v>220000</v>
      </c>
      <c r="F2">
        <v>1</v>
      </c>
      <c r="G2">
        <v>1</v>
      </c>
    </row>
    <row r="3" spans="1:7" x14ac:dyDescent="0.3">
      <c r="A3" t="s">
        <v>11</v>
      </c>
      <c r="B3" t="s">
        <v>12</v>
      </c>
      <c r="C3" t="s">
        <v>9</v>
      </c>
      <c r="D3" t="s">
        <v>10</v>
      </c>
      <c r="E3">
        <v>138000</v>
      </c>
      <c r="F3">
        <v>1</v>
      </c>
      <c r="G3">
        <v>1</v>
      </c>
    </row>
    <row r="4" spans="1:7" x14ac:dyDescent="0.3">
      <c r="A4" t="s">
        <v>13</v>
      </c>
      <c r="B4" t="s">
        <v>14</v>
      </c>
      <c r="C4" t="s">
        <v>9</v>
      </c>
      <c r="D4" t="s">
        <v>10</v>
      </c>
      <c r="E4">
        <v>158000</v>
      </c>
      <c r="F4">
        <v>1</v>
      </c>
      <c r="G4">
        <v>1</v>
      </c>
    </row>
    <row r="5" spans="1:7" x14ac:dyDescent="0.3">
      <c r="A5" t="s">
        <v>15</v>
      </c>
      <c r="B5" t="s">
        <v>16</v>
      </c>
      <c r="C5" t="s">
        <v>9</v>
      </c>
      <c r="D5" t="s">
        <v>10</v>
      </c>
      <c r="E5">
        <v>150000</v>
      </c>
      <c r="F5">
        <v>1</v>
      </c>
      <c r="G5">
        <v>1</v>
      </c>
    </row>
    <row r="6" spans="1:7" x14ac:dyDescent="0.3">
      <c r="A6" t="s">
        <v>17</v>
      </c>
      <c r="B6" t="s">
        <v>18</v>
      </c>
      <c r="C6" t="s">
        <v>9</v>
      </c>
      <c r="D6" t="s">
        <v>10</v>
      </c>
      <c r="E6">
        <v>164000</v>
      </c>
      <c r="F6">
        <v>1</v>
      </c>
      <c r="G6">
        <v>1</v>
      </c>
    </row>
    <row r="7" spans="1:7" x14ac:dyDescent="0.3">
      <c r="A7" t="s">
        <v>19</v>
      </c>
      <c r="B7" t="s">
        <v>20</v>
      </c>
      <c r="C7" t="s">
        <v>9</v>
      </c>
      <c r="D7" t="s">
        <v>10</v>
      </c>
      <c r="E7">
        <v>84000</v>
      </c>
      <c r="F7">
        <v>1</v>
      </c>
      <c r="G7">
        <v>1</v>
      </c>
    </row>
    <row r="8" spans="1:7" x14ac:dyDescent="0.3">
      <c r="A8" t="s">
        <v>21</v>
      </c>
      <c r="B8" t="s">
        <v>22</v>
      </c>
      <c r="C8" t="s">
        <v>9</v>
      </c>
      <c r="D8" t="s">
        <v>10</v>
      </c>
      <c r="E8">
        <v>48000</v>
      </c>
      <c r="F8">
        <v>1</v>
      </c>
      <c r="G8">
        <v>1</v>
      </c>
    </row>
    <row r="9" spans="1:7" x14ac:dyDescent="0.3">
      <c r="A9" t="s">
        <v>23</v>
      </c>
      <c r="B9" t="s">
        <v>24</v>
      </c>
      <c r="C9" t="s">
        <v>9</v>
      </c>
      <c r="D9" t="s">
        <v>10</v>
      </c>
      <c r="E9">
        <v>48000</v>
      </c>
      <c r="F9">
        <v>1</v>
      </c>
      <c r="G9">
        <v>1</v>
      </c>
    </row>
    <row r="10" spans="1:7" x14ac:dyDescent="0.3">
      <c r="A10" t="s">
        <v>25</v>
      </c>
      <c r="B10" t="s">
        <v>26</v>
      </c>
      <c r="C10" t="s">
        <v>9</v>
      </c>
      <c r="D10" t="s">
        <v>10</v>
      </c>
      <c r="E10">
        <v>150000</v>
      </c>
      <c r="F10">
        <v>1</v>
      </c>
      <c r="G10">
        <v>1</v>
      </c>
    </row>
    <row r="11" spans="1:7" x14ac:dyDescent="0.3">
      <c r="A11" t="s">
        <v>27</v>
      </c>
      <c r="B11" t="s">
        <v>28</v>
      </c>
      <c r="C11" t="s">
        <v>9</v>
      </c>
      <c r="D11" t="s">
        <v>10</v>
      </c>
      <c r="E11">
        <v>150000</v>
      </c>
      <c r="F11">
        <v>1</v>
      </c>
      <c r="G11">
        <v>1</v>
      </c>
    </row>
    <row r="12" spans="1:7" x14ac:dyDescent="0.3">
      <c r="A12" t="s">
        <v>29</v>
      </c>
      <c r="B12" t="s">
        <v>30</v>
      </c>
      <c r="C12" t="s">
        <v>9</v>
      </c>
      <c r="D12" t="s">
        <v>10</v>
      </c>
      <c r="E12">
        <v>150000</v>
      </c>
      <c r="F12">
        <v>1</v>
      </c>
      <c r="G12">
        <v>1</v>
      </c>
    </row>
    <row r="13" spans="1:7" x14ac:dyDescent="0.3">
      <c r="A13" t="s">
        <v>31</v>
      </c>
      <c r="B13" t="s">
        <v>32</v>
      </c>
      <c r="C13" t="s">
        <v>9</v>
      </c>
      <c r="D13" t="s">
        <v>10</v>
      </c>
      <c r="E13">
        <v>150000</v>
      </c>
      <c r="F13">
        <v>1</v>
      </c>
      <c r="G13">
        <v>1</v>
      </c>
    </row>
    <row r="14" spans="1:7" x14ac:dyDescent="0.3">
      <c r="A14" t="s">
        <v>33</v>
      </c>
      <c r="B14" t="s">
        <v>34</v>
      </c>
      <c r="C14" t="s">
        <v>9</v>
      </c>
      <c r="D14" t="s">
        <v>10</v>
      </c>
      <c r="E14">
        <v>150000</v>
      </c>
      <c r="F14">
        <v>1</v>
      </c>
      <c r="G14">
        <v>1</v>
      </c>
    </row>
    <row r="15" spans="1:7" x14ac:dyDescent="0.3">
      <c r="A15" t="s">
        <v>35</v>
      </c>
      <c r="B15" t="s">
        <v>36</v>
      </c>
      <c r="C15" t="s">
        <v>9</v>
      </c>
      <c r="D15" t="s">
        <v>10</v>
      </c>
      <c r="E15">
        <v>150000</v>
      </c>
      <c r="F15">
        <v>1</v>
      </c>
      <c r="G15">
        <v>1</v>
      </c>
    </row>
    <row r="16" spans="1:7" x14ac:dyDescent="0.3">
      <c r="A16" t="s">
        <v>37</v>
      </c>
      <c r="B16" t="s">
        <v>38</v>
      </c>
      <c r="C16" t="s">
        <v>9</v>
      </c>
      <c r="D16" t="s">
        <v>10</v>
      </c>
      <c r="E16">
        <v>150000</v>
      </c>
      <c r="F16">
        <v>1</v>
      </c>
      <c r="G16">
        <v>1</v>
      </c>
    </row>
    <row r="17" spans="1:7" x14ac:dyDescent="0.3">
      <c r="A17" t="s">
        <v>39</v>
      </c>
      <c r="B17" t="s">
        <v>40</v>
      </c>
      <c r="C17" t="s">
        <v>9</v>
      </c>
      <c r="D17" t="s">
        <v>10</v>
      </c>
      <c r="E17">
        <v>59000</v>
      </c>
      <c r="F17">
        <v>1</v>
      </c>
      <c r="G17">
        <v>1</v>
      </c>
    </row>
    <row r="18" spans="1:7" x14ac:dyDescent="0.3">
      <c r="A18" t="s">
        <v>41</v>
      </c>
      <c r="B18" t="s">
        <v>42</v>
      </c>
      <c r="C18" t="s">
        <v>9</v>
      </c>
      <c r="D18" t="s">
        <v>10</v>
      </c>
      <c r="E18">
        <v>48000</v>
      </c>
      <c r="F18">
        <v>1</v>
      </c>
      <c r="G18">
        <v>1</v>
      </c>
    </row>
    <row r="19" spans="1:7" x14ac:dyDescent="0.3">
      <c r="A19" t="s">
        <v>43</v>
      </c>
      <c r="B19" t="s">
        <v>44</v>
      </c>
      <c r="C19" t="s">
        <v>9</v>
      </c>
      <c r="D19" t="s">
        <v>10</v>
      </c>
      <c r="E19">
        <v>48000</v>
      </c>
      <c r="F19">
        <v>1</v>
      </c>
      <c r="G19">
        <v>1</v>
      </c>
    </row>
    <row r="20" spans="1:7" x14ac:dyDescent="0.3">
      <c r="A20" t="s">
        <v>45</v>
      </c>
      <c r="B20" t="s">
        <v>46</v>
      </c>
      <c r="C20" t="s">
        <v>9</v>
      </c>
      <c r="D20" t="s">
        <v>10</v>
      </c>
      <c r="E20">
        <v>79000</v>
      </c>
      <c r="F20">
        <v>1</v>
      </c>
      <c r="G20">
        <v>1</v>
      </c>
    </row>
    <row r="21" spans="1:7" x14ac:dyDescent="0.3">
      <c r="A21" t="s">
        <v>47</v>
      </c>
      <c r="B21" t="s">
        <v>48</v>
      </c>
      <c r="C21" t="s">
        <v>9</v>
      </c>
      <c r="D21" t="s">
        <v>10</v>
      </c>
      <c r="E21">
        <v>139000</v>
      </c>
      <c r="F21">
        <v>1</v>
      </c>
      <c r="G21">
        <v>1</v>
      </c>
    </row>
    <row r="22" spans="1:7" x14ac:dyDescent="0.3">
      <c r="A22" t="s">
        <v>49</v>
      </c>
      <c r="B22" t="s">
        <v>50</v>
      </c>
      <c r="C22" t="s">
        <v>9</v>
      </c>
      <c r="D22" t="s">
        <v>10</v>
      </c>
      <c r="E22">
        <v>48000</v>
      </c>
      <c r="F22">
        <v>1</v>
      </c>
      <c r="G22">
        <v>1</v>
      </c>
    </row>
    <row r="23" spans="1:7" x14ac:dyDescent="0.3">
      <c r="A23" t="s">
        <v>51</v>
      </c>
      <c r="B23" t="s">
        <v>52</v>
      </c>
      <c r="C23" t="s">
        <v>9</v>
      </c>
      <c r="D23" t="s">
        <v>10</v>
      </c>
      <c r="E23">
        <v>490000</v>
      </c>
      <c r="F23">
        <v>1</v>
      </c>
      <c r="G23">
        <v>1</v>
      </c>
    </row>
    <row r="24" spans="1:7" x14ac:dyDescent="0.3">
      <c r="A24" t="s">
        <v>53</v>
      </c>
      <c r="B24" t="s">
        <v>54</v>
      </c>
      <c r="C24" t="s">
        <v>9</v>
      </c>
      <c r="D24" t="s">
        <v>10</v>
      </c>
      <c r="E24">
        <v>490000</v>
      </c>
      <c r="F24">
        <v>1</v>
      </c>
      <c r="G24">
        <v>1</v>
      </c>
    </row>
    <row r="25" spans="1:7" x14ac:dyDescent="0.3">
      <c r="A25" t="s">
        <v>55</v>
      </c>
      <c r="B25" t="s">
        <v>56</v>
      </c>
      <c r="C25" t="s">
        <v>9</v>
      </c>
      <c r="D25" t="s">
        <v>10</v>
      </c>
      <c r="E25">
        <v>48000</v>
      </c>
      <c r="F25">
        <v>1</v>
      </c>
      <c r="G25">
        <v>1</v>
      </c>
    </row>
    <row r="26" spans="1:7" x14ac:dyDescent="0.3">
      <c r="A26" t="s">
        <v>57</v>
      </c>
      <c r="B26" t="s">
        <v>58</v>
      </c>
      <c r="C26" t="s">
        <v>9</v>
      </c>
      <c r="D26" t="s">
        <v>10</v>
      </c>
      <c r="E26">
        <v>138000</v>
      </c>
      <c r="F26">
        <v>1</v>
      </c>
      <c r="G26">
        <v>1</v>
      </c>
    </row>
    <row r="27" spans="1:7" x14ac:dyDescent="0.3">
      <c r="A27" t="s">
        <v>59</v>
      </c>
      <c r="B27" t="s">
        <v>60</v>
      </c>
      <c r="C27" t="s">
        <v>9</v>
      </c>
      <c r="D27" t="s">
        <v>10</v>
      </c>
      <c r="E27">
        <v>158000</v>
      </c>
      <c r="F27">
        <v>1</v>
      </c>
      <c r="G27">
        <v>1</v>
      </c>
    </row>
    <row r="28" spans="1:7" x14ac:dyDescent="0.3">
      <c r="A28" t="s">
        <v>61</v>
      </c>
      <c r="B28" t="s">
        <v>62</v>
      </c>
      <c r="C28" t="s">
        <v>9</v>
      </c>
      <c r="D28" t="s">
        <v>10</v>
      </c>
      <c r="E28">
        <v>220000</v>
      </c>
      <c r="F28">
        <v>1</v>
      </c>
      <c r="G28">
        <v>1</v>
      </c>
    </row>
    <row r="29" spans="1:7" x14ac:dyDescent="0.3">
      <c r="A29" t="s">
        <v>63</v>
      </c>
      <c r="B29" t="s">
        <v>64</v>
      </c>
      <c r="C29" t="s">
        <v>9</v>
      </c>
      <c r="D29" t="s">
        <v>10</v>
      </c>
      <c r="E29">
        <v>164000</v>
      </c>
      <c r="F29">
        <v>1</v>
      </c>
      <c r="G29">
        <v>1</v>
      </c>
    </row>
    <row r="30" spans="1:7" x14ac:dyDescent="0.3">
      <c r="A30" t="s">
        <v>65</v>
      </c>
      <c r="B30" t="s">
        <v>66</v>
      </c>
      <c r="C30" t="s">
        <v>9</v>
      </c>
      <c r="D30" t="s">
        <v>10</v>
      </c>
      <c r="E30">
        <v>180000</v>
      </c>
      <c r="F30">
        <v>1</v>
      </c>
      <c r="G30">
        <v>1</v>
      </c>
    </row>
    <row r="31" spans="1:7" x14ac:dyDescent="0.3">
      <c r="A31" t="s">
        <v>67</v>
      </c>
      <c r="B31" t="s">
        <v>68</v>
      </c>
      <c r="C31" t="s">
        <v>9</v>
      </c>
      <c r="D31" t="s">
        <v>10</v>
      </c>
      <c r="E31">
        <v>58000</v>
      </c>
      <c r="F31">
        <v>1</v>
      </c>
      <c r="G31">
        <v>1</v>
      </c>
    </row>
    <row r="32" spans="1:7" x14ac:dyDescent="0.3">
      <c r="A32" t="s">
        <v>69</v>
      </c>
      <c r="B32" t="s">
        <v>70</v>
      </c>
      <c r="C32" t="s">
        <v>9</v>
      </c>
      <c r="D32" t="s">
        <v>10</v>
      </c>
      <c r="E32">
        <v>120000</v>
      </c>
      <c r="F32">
        <v>1</v>
      </c>
      <c r="G32">
        <v>1</v>
      </c>
    </row>
    <row r="33" spans="1:7" x14ac:dyDescent="0.3">
      <c r="A33" t="s">
        <v>71</v>
      </c>
      <c r="B33" t="s">
        <v>72</v>
      </c>
      <c r="C33" t="s">
        <v>9</v>
      </c>
      <c r="D33" t="s">
        <v>10</v>
      </c>
      <c r="E33">
        <v>58000</v>
      </c>
      <c r="F33">
        <v>1</v>
      </c>
      <c r="G33">
        <v>1</v>
      </c>
    </row>
    <row r="34" spans="1:7" x14ac:dyDescent="0.3">
      <c r="A34" t="s">
        <v>73</v>
      </c>
      <c r="B34" t="s">
        <v>74</v>
      </c>
      <c r="C34" t="s">
        <v>9</v>
      </c>
      <c r="D34" t="s">
        <v>10</v>
      </c>
      <c r="E34">
        <v>120000</v>
      </c>
      <c r="F34">
        <v>1</v>
      </c>
      <c r="G34">
        <v>1</v>
      </c>
    </row>
    <row r="35" spans="1:7" x14ac:dyDescent="0.3">
      <c r="A35" t="s">
        <v>75</v>
      </c>
      <c r="B35" t="s">
        <v>76</v>
      </c>
      <c r="C35" t="s">
        <v>9</v>
      </c>
      <c r="D35" t="s">
        <v>10</v>
      </c>
      <c r="E35">
        <v>58000</v>
      </c>
      <c r="F35">
        <v>1</v>
      </c>
      <c r="G35">
        <v>1</v>
      </c>
    </row>
    <row r="36" spans="1:7" x14ac:dyDescent="0.3">
      <c r="A36" t="s">
        <v>77</v>
      </c>
      <c r="B36" t="s">
        <v>78</v>
      </c>
      <c r="C36" t="s">
        <v>9</v>
      </c>
      <c r="D36" t="s">
        <v>10</v>
      </c>
      <c r="E36">
        <v>120000</v>
      </c>
      <c r="F36">
        <v>1</v>
      </c>
      <c r="G36">
        <v>1</v>
      </c>
    </row>
    <row r="37" spans="1:7" x14ac:dyDescent="0.3">
      <c r="A37" t="s">
        <v>79</v>
      </c>
      <c r="B37" t="s">
        <v>80</v>
      </c>
      <c r="C37" t="s">
        <v>9</v>
      </c>
      <c r="D37" t="s">
        <v>10</v>
      </c>
      <c r="E37">
        <v>58000</v>
      </c>
      <c r="F37">
        <v>1</v>
      </c>
      <c r="G37">
        <v>1</v>
      </c>
    </row>
    <row r="38" spans="1:7" x14ac:dyDescent="0.3">
      <c r="A38" t="s">
        <v>81</v>
      </c>
      <c r="B38" t="s">
        <v>82</v>
      </c>
      <c r="C38" t="s">
        <v>9</v>
      </c>
      <c r="D38" t="s">
        <v>10</v>
      </c>
      <c r="E38">
        <v>120000</v>
      </c>
      <c r="F38">
        <v>1</v>
      </c>
      <c r="G38">
        <v>1</v>
      </c>
    </row>
    <row r="39" spans="1:7" x14ac:dyDescent="0.3">
      <c r="A39" t="s">
        <v>83</v>
      </c>
      <c r="B39" t="s">
        <v>84</v>
      </c>
      <c r="C39" t="s">
        <v>9</v>
      </c>
      <c r="D39" t="s">
        <v>10</v>
      </c>
      <c r="E39">
        <v>58000</v>
      </c>
      <c r="F39">
        <v>1</v>
      </c>
      <c r="G39">
        <v>1</v>
      </c>
    </row>
    <row r="40" spans="1:7" x14ac:dyDescent="0.3">
      <c r="A40" t="s">
        <v>85</v>
      </c>
      <c r="B40" t="s">
        <v>86</v>
      </c>
      <c r="C40" t="s">
        <v>9</v>
      </c>
      <c r="D40" t="s">
        <v>10</v>
      </c>
      <c r="E40">
        <v>12000</v>
      </c>
      <c r="F40">
        <v>1</v>
      </c>
      <c r="G40">
        <v>1</v>
      </c>
    </row>
    <row r="41" spans="1:7" x14ac:dyDescent="0.3">
      <c r="A41" t="s">
        <v>87</v>
      </c>
      <c r="B41" t="s">
        <v>88</v>
      </c>
      <c r="C41" t="s">
        <v>9</v>
      </c>
      <c r="D41" t="s">
        <v>10</v>
      </c>
      <c r="E41">
        <v>12000</v>
      </c>
      <c r="F41">
        <v>1</v>
      </c>
      <c r="G41">
        <v>1</v>
      </c>
    </row>
    <row r="42" spans="1:7" x14ac:dyDescent="0.3">
      <c r="A42" t="s">
        <v>89</v>
      </c>
      <c r="B42" t="s">
        <v>90</v>
      </c>
      <c r="C42" t="s">
        <v>9</v>
      </c>
      <c r="D42" t="s">
        <v>10</v>
      </c>
      <c r="E42">
        <v>12000</v>
      </c>
      <c r="F42">
        <v>1</v>
      </c>
      <c r="G42">
        <v>1</v>
      </c>
    </row>
    <row r="43" spans="1:7" x14ac:dyDescent="0.3">
      <c r="A43" t="s">
        <v>91</v>
      </c>
      <c r="B43" t="s">
        <v>92</v>
      </c>
      <c r="C43" t="s">
        <v>9</v>
      </c>
      <c r="D43" t="s">
        <v>10</v>
      </c>
      <c r="E43">
        <v>65000</v>
      </c>
      <c r="F43">
        <v>1</v>
      </c>
      <c r="G43">
        <v>1</v>
      </c>
    </row>
    <row r="44" spans="1:7" x14ac:dyDescent="0.3">
      <c r="A44" t="s">
        <v>93</v>
      </c>
      <c r="B44" t="s">
        <v>94</v>
      </c>
      <c r="C44" t="s">
        <v>9</v>
      </c>
      <c r="D44" t="s">
        <v>10</v>
      </c>
      <c r="E44">
        <v>65000</v>
      </c>
      <c r="F44">
        <v>1</v>
      </c>
      <c r="G44">
        <v>1</v>
      </c>
    </row>
    <row r="45" spans="1:7" x14ac:dyDescent="0.3">
      <c r="A45" t="s">
        <v>95</v>
      </c>
      <c r="B45" t="s">
        <v>96</v>
      </c>
      <c r="C45" t="s">
        <v>9</v>
      </c>
      <c r="D45" t="s">
        <v>10</v>
      </c>
      <c r="E45">
        <v>128000</v>
      </c>
      <c r="F45">
        <v>1</v>
      </c>
      <c r="G45">
        <v>1</v>
      </c>
    </row>
    <row r="46" spans="1:7" x14ac:dyDescent="0.3">
      <c r="A46" t="s">
        <v>97</v>
      </c>
      <c r="B46" t="s">
        <v>98</v>
      </c>
      <c r="C46" t="s">
        <v>9</v>
      </c>
      <c r="D46" t="s">
        <v>10</v>
      </c>
      <c r="E46">
        <v>52000</v>
      </c>
      <c r="F46">
        <v>1</v>
      </c>
      <c r="G46">
        <v>1</v>
      </c>
    </row>
    <row r="47" spans="1:7" x14ac:dyDescent="0.3">
      <c r="A47" t="s">
        <v>99</v>
      </c>
      <c r="B47" t="s">
        <v>100</v>
      </c>
      <c r="C47" t="s">
        <v>9</v>
      </c>
      <c r="D47" t="s">
        <v>101</v>
      </c>
      <c r="E47">
        <v>148000</v>
      </c>
      <c r="F47">
        <v>2</v>
      </c>
      <c r="G47">
        <v>1</v>
      </c>
    </row>
    <row r="48" spans="1:7" x14ac:dyDescent="0.3">
      <c r="A48" t="s">
        <v>102</v>
      </c>
      <c r="B48" t="s">
        <v>103</v>
      </c>
      <c r="C48" t="s">
        <v>9</v>
      </c>
      <c r="D48" t="s">
        <v>101</v>
      </c>
      <c r="E48">
        <v>9900</v>
      </c>
      <c r="F48">
        <v>2</v>
      </c>
      <c r="G48">
        <v>1</v>
      </c>
    </row>
    <row r="49" spans="1:7" x14ac:dyDescent="0.3">
      <c r="A49" t="s">
        <v>104</v>
      </c>
      <c r="B49" t="s">
        <v>105</v>
      </c>
      <c r="C49" t="s">
        <v>9</v>
      </c>
      <c r="D49" t="s">
        <v>10</v>
      </c>
      <c r="E49">
        <v>120000</v>
      </c>
      <c r="F49">
        <v>1</v>
      </c>
      <c r="G49">
        <v>1</v>
      </c>
    </row>
    <row r="50" spans="1:7" x14ac:dyDescent="0.3">
      <c r="A50" t="s">
        <v>106</v>
      </c>
      <c r="B50" t="s">
        <v>107</v>
      </c>
      <c r="C50" t="s">
        <v>9</v>
      </c>
      <c r="D50" t="s">
        <v>101</v>
      </c>
      <c r="E50">
        <v>148350</v>
      </c>
      <c r="F50">
        <v>3</v>
      </c>
      <c r="G50">
        <v>1</v>
      </c>
    </row>
    <row r="51" spans="1:7" x14ac:dyDescent="0.3">
      <c r="A51" t="s">
        <v>108</v>
      </c>
      <c r="B51" t="s">
        <v>109</v>
      </c>
      <c r="C51" t="s">
        <v>9</v>
      </c>
      <c r="D51" t="s">
        <v>101</v>
      </c>
      <c r="E51">
        <v>138000</v>
      </c>
      <c r="F51">
        <v>2</v>
      </c>
      <c r="G51">
        <v>1</v>
      </c>
    </row>
    <row r="52" spans="1:7" x14ac:dyDescent="0.3">
      <c r="A52" t="s">
        <v>110</v>
      </c>
      <c r="B52" t="s">
        <v>111</v>
      </c>
      <c r="C52" t="s">
        <v>9</v>
      </c>
      <c r="D52" t="s">
        <v>101</v>
      </c>
      <c r="E52">
        <v>158000</v>
      </c>
      <c r="F52">
        <v>2</v>
      </c>
      <c r="G52">
        <v>1</v>
      </c>
    </row>
    <row r="53" spans="1:7" x14ac:dyDescent="0.3">
      <c r="A53" t="s">
        <v>112</v>
      </c>
      <c r="B53" t="s">
        <v>113</v>
      </c>
      <c r="C53" t="s">
        <v>9</v>
      </c>
      <c r="D53" t="s">
        <v>101</v>
      </c>
      <c r="E53">
        <v>150000</v>
      </c>
      <c r="F53">
        <v>3</v>
      </c>
      <c r="G53">
        <v>1</v>
      </c>
    </row>
    <row r="54" spans="1:7" x14ac:dyDescent="0.3">
      <c r="A54" t="s">
        <v>114</v>
      </c>
      <c r="B54" t="s">
        <v>115</v>
      </c>
      <c r="C54" t="s">
        <v>9</v>
      </c>
      <c r="D54" t="s">
        <v>101</v>
      </c>
      <c r="E54">
        <v>150000</v>
      </c>
      <c r="F54">
        <v>2</v>
      </c>
      <c r="G54">
        <v>1</v>
      </c>
    </row>
    <row r="55" spans="1:7" x14ac:dyDescent="0.3">
      <c r="A55" t="s">
        <v>116</v>
      </c>
      <c r="B55" t="s">
        <v>117</v>
      </c>
      <c r="C55" t="s">
        <v>9</v>
      </c>
      <c r="D55" t="s">
        <v>101</v>
      </c>
      <c r="E55">
        <v>150000</v>
      </c>
      <c r="F55">
        <v>2</v>
      </c>
      <c r="G55">
        <v>1</v>
      </c>
    </row>
    <row r="56" spans="1:7" x14ac:dyDescent="0.3">
      <c r="A56" t="s">
        <v>118</v>
      </c>
      <c r="B56" t="s">
        <v>119</v>
      </c>
      <c r="C56" t="s">
        <v>9</v>
      </c>
      <c r="D56" t="s">
        <v>101</v>
      </c>
      <c r="E56">
        <v>96000</v>
      </c>
      <c r="F56">
        <v>2</v>
      </c>
      <c r="G56">
        <v>1</v>
      </c>
    </row>
    <row r="57" spans="1:7" x14ac:dyDescent="0.3">
      <c r="A57" t="s">
        <v>120</v>
      </c>
      <c r="B57" t="s">
        <v>121</v>
      </c>
      <c r="C57" t="s">
        <v>9</v>
      </c>
      <c r="D57" t="s">
        <v>101</v>
      </c>
      <c r="E57">
        <v>96000</v>
      </c>
      <c r="F57">
        <v>2</v>
      </c>
      <c r="G57">
        <v>1</v>
      </c>
    </row>
    <row r="58" spans="1:7" x14ac:dyDescent="0.3">
      <c r="A58" t="s">
        <v>122</v>
      </c>
      <c r="B58" t="s">
        <v>123</v>
      </c>
      <c r="C58" t="s">
        <v>9</v>
      </c>
      <c r="D58" t="s">
        <v>101</v>
      </c>
      <c r="E58">
        <v>96000</v>
      </c>
      <c r="F58">
        <v>2</v>
      </c>
      <c r="G58">
        <v>1</v>
      </c>
    </row>
    <row r="59" spans="1:7" x14ac:dyDescent="0.3">
      <c r="A59" t="s">
        <v>124</v>
      </c>
      <c r="B59" t="s">
        <v>125</v>
      </c>
      <c r="C59" t="s">
        <v>9</v>
      </c>
      <c r="D59" t="s">
        <v>101</v>
      </c>
      <c r="E59">
        <v>59000</v>
      </c>
      <c r="F59">
        <v>2</v>
      </c>
      <c r="G59">
        <v>1</v>
      </c>
    </row>
    <row r="60" spans="1:7" x14ac:dyDescent="0.3">
      <c r="A60" t="s">
        <v>126</v>
      </c>
      <c r="B60" t="s">
        <v>127</v>
      </c>
      <c r="C60" t="s">
        <v>9</v>
      </c>
      <c r="D60" t="s">
        <v>101</v>
      </c>
      <c r="E60">
        <v>59000</v>
      </c>
      <c r="F60">
        <v>2</v>
      </c>
      <c r="G60">
        <v>1</v>
      </c>
    </row>
    <row r="61" spans="1:7" x14ac:dyDescent="0.3">
      <c r="A61" t="s">
        <v>128</v>
      </c>
      <c r="B61" t="s">
        <v>129</v>
      </c>
      <c r="C61" t="s">
        <v>9</v>
      </c>
      <c r="D61" t="s">
        <v>101</v>
      </c>
      <c r="E61">
        <v>120000</v>
      </c>
      <c r="F61">
        <v>2</v>
      </c>
      <c r="G61">
        <v>1</v>
      </c>
    </row>
    <row r="62" spans="1:7" x14ac:dyDescent="0.3">
      <c r="A62" t="s">
        <v>130</v>
      </c>
      <c r="B62" t="s">
        <v>131</v>
      </c>
      <c r="C62" t="s">
        <v>9</v>
      </c>
      <c r="D62" t="s">
        <v>101</v>
      </c>
      <c r="E62">
        <v>120000</v>
      </c>
      <c r="F62">
        <v>2</v>
      </c>
      <c r="G62">
        <v>1</v>
      </c>
    </row>
    <row r="63" spans="1:7" x14ac:dyDescent="0.3">
      <c r="A63" t="s">
        <v>132</v>
      </c>
      <c r="B63" t="s">
        <v>133</v>
      </c>
      <c r="C63" t="s">
        <v>9</v>
      </c>
      <c r="D63" t="s">
        <v>101</v>
      </c>
      <c r="E63">
        <v>120000</v>
      </c>
      <c r="F63">
        <v>2</v>
      </c>
      <c r="G63">
        <v>1</v>
      </c>
    </row>
    <row r="64" spans="1:7" x14ac:dyDescent="0.3">
      <c r="A64" t="s">
        <v>134</v>
      </c>
      <c r="B64" t="s">
        <v>135</v>
      </c>
      <c r="C64" t="s">
        <v>9</v>
      </c>
      <c r="D64" t="s">
        <v>101</v>
      </c>
      <c r="E64" s="2">
        <v>96000</v>
      </c>
      <c r="F64">
        <v>2</v>
      </c>
      <c r="G64">
        <v>1</v>
      </c>
    </row>
    <row r="65" spans="1:7" x14ac:dyDescent="0.3">
      <c r="A65" t="s">
        <v>136</v>
      </c>
      <c r="B65" t="s">
        <v>137</v>
      </c>
      <c r="C65" t="s">
        <v>9</v>
      </c>
      <c r="D65" t="s">
        <v>101</v>
      </c>
      <c r="E65" s="2">
        <v>96000</v>
      </c>
      <c r="F65">
        <v>3</v>
      </c>
      <c r="G65">
        <v>1</v>
      </c>
    </row>
    <row r="66" spans="1:7" x14ac:dyDescent="0.3">
      <c r="A66" t="s">
        <v>138</v>
      </c>
      <c r="B66" t="s">
        <v>139</v>
      </c>
      <c r="C66" t="s">
        <v>9</v>
      </c>
      <c r="D66" t="s">
        <v>101</v>
      </c>
      <c r="E66" s="2">
        <v>96000</v>
      </c>
      <c r="F66">
        <v>3</v>
      </c>
      <c r="G66">
        <v>1</v>
      </c>
    </row>
    <row r="67" spans="1:7" x14ac:dyDescent="0.3">
      <c r="A67" t="s">
        <v>140</v>
      </c>
      <c r="B67" t="s">
        <v>141</v>
      </c>
      <c r="C67" t="s">
        <v>9</v>
      </c>
      <c r="D67" t="s">
        <v>101</v>
      </c>
      <c r="E67" s="2">
        <v>96000</v>
      </c>
      <c r="F67">
        <v>3</v>
      </c>
      <c r="G67">
        <v>1</v>
      </c>
    </row>
    <row r="68" spans="1:7" x14ac:dyDescent="0.3">
      <c r="A68" t="s">
        <v>142</v>
      </c>
      <c r="B68" t="s">
        <v>143</v>
      </c>
      <c r="C68" t="s">
        <v>9</v>
      </c>
      <c r="D68" t="s">
        <v>101</v>
      </c>
      <c r="E68" s="2">
        <v>96000</v>
      </c>
      <c r="F68">
        <v>3</v>
      </c>
      <c r="G68">
        <v>1</v>
      </c>
    </row>
    <row r="69" spans="1:7" x14ac:dyDescent="0.3">
      <c r="A69" t="s">
        <v>144</v>
      </c>
      <c r="B69" t="s">
        <v>145</v>
      </c>
      <c r="C69" t="s">
        <v>9</v>
      </c>
      <c r="D69" t="s">
        <v>101</v>
      </c>
      <c r="E69" s="2">
        <v>96000</v>
      </c>
      <c r="F69">
        <v>2</v>
      </c>
      <c r="G69">
        <v>1</v>
      </c>
    </row>
    <row r="70" spans="1:7" x14ac:dyDescent="0.3">
      <c r="A70" t="s">
        <v>146</v>
      </c>
      <c r="B70" t="s">
        <v>147</v>
      </c>
      <c r="C70" t="s">
        <v>9</v>
      </c>
      <c r="D70" t="s">
        <v>101</v>
      </c>
      <c r="E70" s="2">
        <v>96000</v>
      </c>
      <c r="F70">
        <v>3</v>
      </c>
      <c r="G70">
        <v>1</v>
      </c>
    </row>
    <row r="71" spans="1:7" x14ac:dyDescent="0.3">
      <c r="A71" t="s">
        <v>148</v>
      </c>
      <c r="B71" t="s">
        <v>149</v>
      </c>
      <c r="C71" t="s">
        <v>9</v>
      </c>
      <c r="D71" t="s">
        <v>101</v>
      </c>
      <c r="E71" s="2">
        <v>96000</v>
      </c>
      <c r="F71">
        <v>3</v>
      </c>
      <c r="G71">
        <v>1</v>
      </c>
    </row>
    <row r="72" spans="1:7" x14ac:dyDescent="0.3">
      <c r="A72" t="s">
        <v>150</v>
      </c>
      <c r="B72" t="s">
        <v>151</v>
      </c>
      <c r="C72" t="s">
        <v>9</v>
      </c>
      <c r="D72" t="s">
        <v>101</v>
      </c>
      <c r="E72" s="2">
        <v>96000</v>
      </c>
      <c r="F72">
        <v>3</v>
      </c>
      <c r="G72">
        <v>1</v>
      </c>
    </row>
    <row r="73" spans="1:7" x14ac:dyDescent="0.3">
      <c r="A73" t="s">
        <v>152</v>
      </c>
      <c r="B73" t="s">
        <v>153</v>
      </c>
      <c r="C73" t="s">
        <v>9</v>
      </c>
      <c r="D73" t="s">
        <v>101</v>
      </c>
      <c r="E73" s="2">
        <v>96000</v>
      </c>
      <c r="F73">
        <v>3</v>
      </c>
      <c r="G73">
        <v>1</v>
      </c>
    </row>
    <row r="74" spans="1:7" x14ac:dyDescent="0.3">
      <c r="A74" t="s">
        <v>154</v>
      </c>
      <c r="B74" t="s">
        <v>155</v>
      </c>
      <c r="C74" t="s">
        <v>9</v>
      </c>
      <c r="D74" t="s">
        <v>101</v>
      </c>
      <c r="E74" s="2">
        <v>96000</v>
      </c>
      <c r="F74">
        <v>3</v>
      </c>
      <c r="G74">
        <v>1</v>
      </c>
    </row>
    <row r="75" spans="1:7" x14ac:dyDescent="0.3">
      <c r="A75" t="s">
        <v>156</v>
      </c>
      <c r="B75" t="s">
        <v>157</v>
      </c>
      <c r="C75" t="s">
        <v>9</v>
      </c>
      <c r="D75" t="s">
        <v>101</v>
      </c>
      <c r="E75" s="2">
        <v>96000</v>
      </c>
      <c r="F75">
        <v>3</v>
      </c>
      <c r="G75">
        <v>1</v>
      </c>
    </row>
    <row r="76" spans="1:7" x14ac:dyDescent="0.3">
      <c r="A76" t="s">
        <v>158</v>
      </c>
      <c r="B76" t="s">
        <v>159</v>
      </c>
      <c r="C76" t="s">
        <v>9</v>
      </c>
      <c r="D76" t="s">
        <v>101</v>
      </c>
      <c r="E76" s="2">
        <v>96000</v>
      </c>
      <c r="F76">
        <v>3</v>
      </c>
      <c r="G76">
        <v>1</v>
      </c>
    </row>
    <row r="77" spans="1:7" x14ac:dyDescent="0.3">
      <c r="A77" t="s">
        <v>160</v>
      </c>
      <c r="B77" t="s">
        <v>161</v>
      </c>
      <c r="C77" t="s">
        <v>9</v>
      </c>
      <c r="D77" t="s">
        <v>101</v>
      </c>
      <c r="E77" s="2">
        <v>96000</v>
      </c>
      <c r="F77">
        <v>3</v>
      </c>
      <c r="G77">
        <v>1</v>
      </c>
    </row>
    <row r="78" spans="1:7" x14ac:dyDescent="0.3">
      <c r="A78" t="s">
        <v>162</v>
      </c>
      <c r="B78" t="s">
        <v>163</v>
      </c>
      <c r="C78" t="s">
        <v>9</v>
      </c>
      <c r="D78" t="s">
        <v>101</v>
      </c>
      <c r="E78" s="2">
        <v>96000</v>
      </c>
      <c r="F78">
        <v>3</v>
      </c>
      <c r="G78">
        <v>1</v>
      </c>
    </row>
    <row r="79" spans="1:7" x14ac:dyDescent="0.3">
      <c r="A79" t="s">
        <v>164</v>
      </c>
      <c r="B79" t="s">
        <v>165</v>
      </c>
      <c r="C79" t="s">
        <v>9</v>
      </c>
      <c r="D79" t="s">
        <v>101</v>
      </c>
      <c r="E79">
        <v>29975</v>
      </c>
      <c r="F79">
        <v>2</v>
      </c>
      <c r="G79">
        <v>1</v>
      </c>
    </row>
    <row r="80" spans="1:7" x14ac:dyDescent="0.3">
      <c r="A80" t="s">
        <v>166</v>
      </c>
      <c r="B80" t="s">
        <v>167</v>
      </c>
      <c r="C80" t="s">
        <v>9</v>
      </c>
      <c r="D80" t="s">
        <v>101</v>
      </c>
      <c r="E80" s="2">
        <v>96000</v>
      </c>
      <c r="F80">
        <v>2</v>
      </c>
      <c r="G80">
        <v>1</v>
      </c>
    </row>
    <row r="81" spans="1:7" x14ac:dyDescent="0.3">
      <c r="A81" t="s">
        <v>168</v>
      </c>
      <c r="B81" t="s">
        <v>169</v>
      </c>
      <c r="C81" t="s">
        <v>9</v>
      </c>
      <c r="D81" t="s">
        <v>101</v>
      </c>
      <c r="E81" s="2">
        <v>96000</v>
      </c>
      <c r="F81">
        <v>2</v>
      </c>
      <c r="G81">
        <v>1</v>
      </c>
    </row>
    <row r="82" spans="1:7" x14ac:dyDescent="0.3">
      <c r="A82" t="s">
        <v>170</v>
      </c>
      <c r="B82" t="s">
        <v>171</v>
      </c>
      <c r="C82" t="s">
        <v>9</v>
      </c>
      <c r="D82" t="s">
        <v>101</v>
      </c>
      <c r="E82" s="2">
        <v>96000</v>
      </c>
      <c r="F82">
        <v>2</v>
      </c>
      <c r="G82">
        <v>1</v>
      </c>
    </row>
    <row r="83" spans="1:7" x14ac:dyDescent="0.3">
      <c r="A83" t="s">
        <v>172</v>
      </c>
      <c r="B83" t="s">
        <v>173</v>
      </c>
      <c r="C83" t="s">
        <v>9</v>
      </c>
      <c r="D83" t="s">
        <v>101</v>
      </c>
      <c r="E83">
        <v>79000</v>
      </c>
      <c r="F83">
        <v>5</v>
      </c>
      <c r="G83">
        <v>5</v>
      </c>
    </row>
    <row r="84" spans="1:7" x14ac:dyDescent="0.3">
      <c r="A84" t="s">
        <v>174</v>
      </c>
      <c r="B84" t="s">
        <v>175</v>
      </c>
      <c r="C84" t="s">
        <v>9</v>
      </c>
      <c r="D84" t="s">
        <v>101</v>
      </c>
      <c r="E84">
        <v>79000</v>
      </c>
      <c r="F84">
        <v>3</v>
      </c>
      <c r="G84">
        <v>3</v>
      </c>
    </row>
    <row r="85" spans="1:7" x14ac:dyDescent="0.3">
      <c r="A85" t="s">
        <v>176</v>
      </c>
      <c r="B85" t="s">
        <v>177</v>
      </c>
      <c r="C85" t="s">
        <v>9</v>
      </c>
      <c r="D85" t="s">
        <v>101</v>
      </c>
      <c r="E85">
        <v>229000</v>
      </c>
      <c r="F85">
        <v>2</v>
      </c>
      <c r="G85">
        <v>1</v>
      </c>
    </row>
    <row r="86" spans="1:7" x14ac:dyDescent="0.3">
      <c r="A86" t="s">
        <v>178</v>
      </c>
      <c r="B86" t="s">
        <v>179</v>
      </c>
      <c r="C86" t="s">
        <v>9</v>
      </c>
      <c r="D86" t="s">
        <v>101</v>
      </c>
      <c r="E86">
        <v>229000</v>
      </c>
      <c r="F86">
        <v>2</v>
      </c>
      <c r="G86">
        <v>1</v>
      </c>
    </row>
    <row r="87" spans="1:7" x14ac:dyDescent="0.3">
      <c r="A87" t="s">
        <v>180</v>
      </c>
      <c r="B87" t="s">
        <v>181</v>
      </c>
      <c r="C87" t="s">
        <v>9</v>
      </c>
      <c r="D87" t="s">
        <v>101</v>
      </c>
      <c r="E87">
        <v>229000</v>
      </c>
      <c r="F87">
        <v>2</v>
      </c>
      <c r="G87">
        <v>1</v>
      </c>
    </row>
    <row r="88" spans="1:7" x14ac:dyDescent="0.3">
      <c r="A88" t="s">
        <v>182</v>
      </c>
      <c r="B88" t="s">
        <v>183</v>
      </c>
      <c r="C88" t="s">
        <v>9</v>
      </c>
      <c r="D88" t="s">
        <v>101</v>
      </c>
      <c r="E88">
        <v>123000</v>
      </c>
      <c r="F88">
        <v>2</v>
      </c>
      <c r="G88">
        <v>1</v>
      </c>
    </row>
    <row r="89" spans="1:7" x14ac:dyDescent="0.3">
      <c r="A89" t="s">
        <v>184</v>
      </c>
      <c r="B89" t="s">
        <v>185</v>
      </c>
      <c r="C89" t="s">
        <v>9</v>
      </c>
      <c r="D89" t="s">
        <v>101</v>
      </c>
      <c r="E89">
        <v>123000</v>
      </c>
      <c r="F89">
        <v>2</v>
      </c>
      <c r="G89">
        <v>1</v>
      </c>
    </row>
    <row r="90" spans="1:7" x14ac:dyDescent="0.3">
      <c r="A90" t="s">
        <v>186</v>
      </c>
      <c r="B90" t="s">
        <v>187</v>
      </c>
      <c r="C90" t="s">
        <v>9</v>
      </c>
      <c r="D90" t="s">
        <v>101</v>
      </c>
      <c r="E90">
        <v>123000</v>
      </c>
      <c r="F90">
        <v>2</v>
      </c>
      <c r="G90">
        <v>1</v>
      </c>
    </row>
    <row r="91" spans="1:7" x14ac:dyDescent="0.3">
      <c r="A91" t="s">
        <v>188</v>
      </c>
      <c r="B91" t="s">
        <v>189</v>
      </c>
      <c r="C91" t="s">
        <v>9</v>
      </c>
      <c r="D91" t="s">
        <v>101</v>
      </c>
      <c r="E91">
        <v>123000</v>
      </c>
      <c r="F91">
        <v>2</v>
      </c>
      <c r="G91">
        <v>1</v>
      </c>
    </row>
    <row r="92" spans="1:7" x14ac:dyDescent="0.3">
      <c r="A92" t="s">
        <v>190</v>
      </c>
      <c r="B92" t="s">
        <v>191</v>
      </c>
      <c r="C92" t="s">
        <v>9</v>
      </c>
      <c r="D92" t="s">
        <v>101</v>
      </c>
      <c r="E92">
        <v>120000</v>
      </c>
      <c r="F92">
        <v>6</v>
      </c>
      <c r="G92">
        <v>3</v>
      </c>
    </row>
    <row r="93" spans="1:7" x14ac:dyDescent="0.3">
      <c r="A93" t="s">
        <v>192</v>
      </c>
      <c r="B93" t="s">
        <v>193</v>
      </c>
      <c r="C93" t="s">
        <v>9</v>
      </c>
      <c r="D93" t="s">
        <v>101</v>
      </c>
      <c r="E93">
        <v>120000</v>
      </c>
      <c r="F93">
        <v>2</v>
      </c>
      <c r="G93">
        <v>1</v>
      </c>
    </row>
    <row r="94" spans="1:7" x14ac:dyDescent="0.3">
      <c r="A94" t="s">
        <v>194</v>
      </c>
      <c r="B94" t="s">
        <v>195</v>
      </c>
      <c r="C94" t="s">
        <v>9</v>
      </c>
      <c r="D94" t="s">
        <v>101</v>
      </c>
      <c r="E94">
        <v>120000</v>
      </c>
      <c r="F94">
        <v>12</v>
      </c>
      <c r="G94">
        <v>6</v>
      </c>
    </row>
    <row r="95" spans="1:7" x14ac:dyDescent="0.3">
      <c r="A95" t="s">
        <v>196</v>
      </c>
      <c r="B95" t="s">
        <v>197</v>
      </c>
      <c r="C95" t="s">
        <v>9</v>
      </c>
      <c r="D95" t="s">
        <v>101</v>
      </c>
      <c r="E95">
        <v>123000</v>
      </c>
      <c r="F95">
        <v>2</v>
      </c>
      <c r="G95">
        <v>1</v>
      </c>
    </row>
    <row r="96" spans="1:7" x14ac:dyDescent="0.3">
      <c r="A96" t="s">
        <v>198</v>
      </c>
      <c r="B96" t="s">
        <v>199</v>
      </c>
      <c r="C96" t="s">
        <v>9</v>
      </c>
      <c r="D96" t="s">
        <v>101</v>
      </c>
      <c r="E96">
        <v>48000</v>
      </c>
      <c r="F96">
        <v>2</v>
      </c>
      <c r="G96">
        <v>1</v>
      </c>
    </row>
    <row r="97" spans="1:7" x14ac:dyDescent="0.3">
      <c r="A97" t="s">
        <v>200</v>
      </c>
      <c r="B97" t="s">
        <v>201</v>
      </c>
      <c r="C97" t="s">
        <v>9</v>
      </c>
      <c r="D97" t="s">
        <v>101</v>
      </c>
      <c r="E97">
        <v>48000</v>
      </c>
      <c r="F97">
        <v>2</v>
      </c>
      <c r="G97">
        <v>1</v>
      </c>
    </row>
    <row r="98" spans="1:7" x14ac:dyDescent="0.3">
      <c r="A98" t="s">
        <v>202</v>
      </c>
      <c r="B98" t="s">
        <v>203</v>
      </c>
      <c r="C98" t="s">
        <v>9</v>
      </c>
      <c r="D98" t="s">
        <v>101</v>
      </c>
      <c r="E98">
        <v>87000</v>
      </c>
      <c r="F98">
        <v>3</v>
      </c>
      <c r="G98">
        <v>1</v>
      </c>
    </row>
    <row r="99" spans="1:7" x14ac:dyDescent="0.3">
      <c r="A99" t="s">
        <v>204</v>
      </c>
      <c r="B99" t="s">
        <v>205</v>
      </c>
      <c r="C99" t="s">
        <v>9</v>
      </c>
      <c r="D99" t="s">
        <v>101</v>
      </c>
      <c r="E99">
        <v>87000</v>
      </c>
      <c r="F99">
        <v>2</v>
      </c>
      <c r="G99">
        <v>1</v>
      </c>
    </row>
    <row r="100" spans="1:7" x14ac:dyDescent="0.3">
      <c r="A100" t="s">
        <v>206</v>
      </c>
      <c r="B100" t="s">
        <v>207</v>
      </c>
      <c r="C100" t="s">
        <v>9</v>
      </c>
      <c r="D100" t="s">
        <v>101</v>
      </c>
      <c r="E100">
        <v>87000</v>
      </c>
      <c r="F100">
        <v>2</v>
      </c>
      <c r="G100">
        <v>1</v>
      </c>
    </row>
    <row r="101" spans="1:7" x14ac:dyDescent="0.3">
      <c r="A101" t="s">
        <v>208</v>
      </c>
      <c r="B101" t="s">
        <v>209</v>
      </c>
      <c r="C101" t="s">
        <v>9</v>
      </c>
      <c r="D101" t="s">
        <v>101</v>
      </c>
      <c r="E101">
        <v>108000</v>
      </c>
      <c r="F101">
        <v>2</v>
      </c>
      <c r="G101">
        <v>1</v>
      </c>
    </row>
    <row r="102" spans="1:7" x14ac:dyDescent="0.3">
      <c r="A102" t="s">
        <v>210</v>
      </c>
      <c r="B102" t="s">
        <v>211</v>
      </c>
      <c r="C102" t="s">
        <v>9</v>
      </c>
      <c r="D102" t="s">
        <v>101</v>
      </c>
      <c r="E102">
        <v>108000</v>
      </c>
      <c r="F102">
        <v>2</v>
      </c>
      <c r="G102">
        <v>1</v>
      </c>
    </row>
    <row r="103" spans="1:7" x14ac:dyDescent="0.3">
      <c r="A103" t="s">
        <v>212</v>
      </c>
      <c r="B103" t="s">
        <v>213</v>
      </c>
      <c r="C103" t="s">
        <v>9</v>
      </c>
      <c r="D103" t="s">
        <v>101</v>
      </c>
      <c r="E103">
        <v>48000</v>
      </c>
      <c r="F103">
        <v>3</v>
      </c>
      <c r="G103">
        <v>3</v>
      </c>
    </row>
    <row r="104" spans="1:7" x14ac:dyDescent="0.3">
      <c r="A104" t="s">
        <v>214</v>
      </c>
      <c r="B104" t="s">
        <v>215</v>
      </c>
      <c r="C104" t="s">
        <v>9</v>
      </c>
      <c r="D104" t="s">
        <v>101</v>
      </c>
      <c r="E104">
        <v>108000</v>
      </c>
      <c r="F104">
        <v>12</v>
      </c>
      <c r="G104">
        <v>6</v>
      </c>
    </row>
    <row r="105" spans="1:7" x14ac:dyDescent="0.3">
      <c r="A105" t="s">
        <v>216</v>
      </c>
      <c r="B105" t="s">
        <v>217</v>
      </c>
      <c r="C105" t="s">
        <v>9</v>
      </c>
      <c r="D105" t="s">
        <v>101</v>
      </c>
      <c r="E105">
        <v>108000</v>
      </c>
      <c r="F105">
        <v>6</v>
      </c>
      <c r="G105">
        <v>3</v>
      </c>
    </row>
    <row r="106" spans="1:7" x14ac:dyDescent="0.3">
      <c r="A106" t="s">
        <v>218</v>
      </c>
      <c r="B106" t="s">
        <v>219</v>
      </c>
      <c r="C106" t="s">
        <v>9</v>
      </c>
      <c r="D106" t="s">
        <v>101</v>
      </c>
      <c r="E106">
        <v>80000</v>
      </c>
      <c r="F106">
        <v>2</v>
      </c>
      <c r="G106">
        <v>1</v>
      </c>
    </row>
    <row r="107" spans="1:7" x14ac:dyDescent="0.3">
      <c r="A107" t="s">
        <v>220</v>
      </c>
      <c r="B107" t="s">
        <v>221</v>
      </c>
      <c r="C107" t="s">
        <v>9</v>
      </c>
      <c r="D107" t="s">
        <v>101</v>
      </c>
      <c r="E107">
        <v>80000</v>
      </c>
      <c r="F107">
        <v>2</v>
      </c>
      <c r="G107">
        <v>1</v>
      </c>
    </row>
    <row r="108" spans="1:7" x14ac:dyDescent="0.3">
      <c r="A108" t="s">
        <v>222</v>
      </c>
      <c r="B108" t="s">
        <v>223</v>
      </c>
      <c r="C108" t="s">
        <v>9</v>
      </c>
      <c r="D108" t="s">
        <v>101</v>
      </c>
      <c r="E108">
        <v>126000</v>
      </c>
      <c r="F108">
        <v>2</v>
      </c>
      <c r="G108">
        <v>1</v>
      </c>
    </row>
    <row r="109" spans="1:7" x14ac:dyDescent="0.3">
      <c r="A109" t="s">
        <v>224</v>
      </c>
      <c r="B109" t="s">
        <v>225</v>
      </c>
      <c r="C109" t="s">
        <v>9</v>
      </c>
      <c r="D109" t="s">
        <v>101</v>
      </c>
      <c r="E109">
        <v>165000</v>
      </c>
      <c r="F109">
        <v>1</v>
      </c>
      <c r="G109">
        <v>1</v>
      </c>
    </row>
    <row r="110" spans="1:7" x14ac:dyDescent="0.3">
      <c r="A110" t="s">
        <v>226</v>
      </c>
      <c r="B110" t="s">
        <v>227</v>
      </c>
      <c r="C110" t="s">
        <v>9</v>
      </c>
      <c r="D110" t="s">
        <v>101</v>
      </c>
      <c r="E110">
        <v>165000</v>
      </c>
      <c r="F110">
        <v>12</v>
      </c>
      <c r="G110">
        <v>6</v>
      </c>
    </row>
    <row r="111" spans="1:7" x14ac:dyDescent="0.3">
      <c r="A111" t="s">
        <v>228</v>
      </c>
      <c r="B111" t="s">
        <v>229</v>
      </c>
      <c r="C111" t="s">
        <v>9</v>
      </c>
      <c r="D111" t="s">
        <v>101</v>
      </c>
      <c r="E111">
        <v>165000</v>
      </c>
      <c r="F111">
        <v>6</v>
      </c>
      <c r="G111">
        <v>3</v>
      </c>
    </row>
    <row r="112" spans="1:7" x14ac:dyDescent="0.3">
      <c r="A112" t="s">
        <v>230</v>
      </c>
      <c r="B112" t="s">
        <v>231</v>
      </c>
      <c r="C112" t="s">
        <v>9</v>
      </c>
      <c r="D112" t="s">
        <v>101</v>
      </c>
      <c r="E112">
        <v>165000</v>
      </c>
      <c r="F112">
        <v>2</v>
      </c>
      <c r="G112">
        <v>1</v>
      </c>
    </row>
    <row r="113" spans="1:7" x14ac:dyDescent="0.3">
      <c r="A113" t="s">
        <v>232</v>
      </c>
      <c r="B113" t="s">
        <v>233</v>
      </c>
      <c r="C113" t="s">
        <v>9</v>
      </c>
      <c r="D113" t="s">
        <v>101</v>
      </c>
      <c r="E113">
        <v>165000</v>
      </c>
      <c r="F113">
        <v>12</v>
      </c>
      <c r="G113">
        <v>6</v>
      </c>
    </row>
    <row r="114" spans="1:7" x14ac:dyDescent="0.3">
      <c r="A114" t="s">
        <v>234</v>
      </c>
      <c r="B114" t="s">
        <v>235</v>
      </c>
      <c r="C114" t="s">
        <v>9</v>
      </c>
      <c r="D114" t="s">
        <v>101</v>
      </c>
      <c r="E114">
        <v>165000</v>
      </c>
      <c r="F114">
        <v>6</v>
      </c>
      <c r="G114">
        <v>3</v>
      </c>
    </row>
    <row r="115" spans="1:7" x14ac:dyDescent="0.3">
      <c r="A115" t="s">
        <v>236</v>
      </c>
      <c r="B115" t="s">
        <v>237</v>
      </c>
      <c r="C115" t="s">
        <v>9</v>
      </c>
      <c r="D115" t="s">
        <v>101</v>
      </c>
      <c r="E115">
        <v>165000</v>
      </c>
      <c r="F115">
        <v>2</v>
      </c>
      <c r="G115">
        <v>1</v>
      </c>
    </row>
    <row r="116" spans="1:7" x14ac:dyDescent="0.3">
      <c r="A116" t="s">
        <v>238</v>
      </c>
      <c r="B116" t="s">
        <v>239</v>
      </c>
      <c r="C116" t="s">
        <v>9</v>
      </c>
      <c r="D116" t="s">
        <v>101</v>
      </c>
      <c r="E116">
        <v>888000</v>
      </c>
      <c r="F116">
        <v>12</v>
      </c>
      <c r="G116">
        <v>6</v>
      </c>
    </row>
    <row r="117" spans="1:7" x14ac:dyDescent="0.3">
      <c r="A117" t="s">
        <v>240</v>
      </c>
      <c r="B117" t="s">
        <v>241</v>
      </c>
      <c r="C117" t="s">
        <v>9</v>
      </c>
      <c r="D117" t="s">
        <v>101</v>
      </c>
      <c r="E117">
        <v>444000</v>
      </c>
      <c r="F117">
        <v>6</v>
      </c>
      <c r="G117">
        <v>3</v>
      </c>
    </row>
    <row r="118" spans="1:7" x14ac:dyDescent="0.3">
      <c r="A118" t="s">
        <v>242</v>
      </c>
      <c r="B118" t="s">
        <v>243</v>
      </c>
      <c r="C118" t="s">
        <v>9</v>
      </c>
      <c r="D118" t="s">
        <v>101</v>
      </c>
      <c r="E118">
        <v>148000</v>
      </c>
      <c r="F118">
        <v>2</v>
      </c>
      <c r="G118">
        <v>1</v>
      </c>
    </row>
    <row r="119" spans="1:7" x14ac:dyDescent="0.3">
      <c r="A119" t="s">
        <v>244</v>
      </c>
      <c r="B119" t="s">
        <v>245</v>
      </c>
      <c r="C119" t="s">
        <v>9</v>
      </c>
      <c r="D119" t="s">
        <v>101</v>
      </c>
      <c r="E119">
        <v>444000</v>
      </c>
      <c r="F119">
        <v>6</v>
      </c>
      <c r="G119">
        <v>3</v>
      </c>
    </row>
    <row r="120" spans="1:7" x14ac:dyDescent="0.3">
      <c r="A120" t="s">
        <v>246</v>
      </c>
      <c r="B120" t="s">
        <v>247</v>
      </c>
      <c r="C120" t="s">
        <v>9</v>
      </c>
      <c r="D120" t="s">
        <v>101</v>
      </c>
      <c r="E120">
        <v>59000</v>
      </c>
      <c r="F120">
        <v>2</v>
      </c>
      <c r="G120">
        <v>1</v>
      </c>
    </row>
    <row r="121" spans="1:7" x14ac:dyDescent="0.3">
      <c r="A121" t="s">
        <v>248</v>
      </c>
      <c r="B121" t="s">
        <v>249</v>
      </c>
      <c r="C121" t="s">
        <v>9</v>
      </c>
      <c r="D121" t="s">
        <v>101</v>
      </c>
      <c r="E121">
        <v>65000</v>
      </c>
      <c r="F121">
        <v>2</v>
      </c>
      <c r="G121">
        <v>1</v>
      </c>
    </row>
    <row r="122" spans="1:7" x14ac:dyDescent="0.3">
      <c r="A122" t="s">
        <v>250</v>
      </c>
      <c r="B122" t="s">
        <v>251</v>
      </c>
      <c r="C122" t="s">
        <v>9</v>
      </c>
      <c r="D122" t="s">
        <v>101</v>
      </c>
      <c r="E122">
        <v>60000</v>
      </c>
      <c r="F122">
        <v>2</v>
      </c>
      <c r="G122">
        <v>1</v>
      </c>
    </row>
    <row r="123" spans="1:7" x14ac:dyDescent="0.3">
      <c r="A123" t="s">
        <v>252</v>
      </c>
      <c r="B123" t="s">
        <v>253</v>
      </c>
      <c r="C123" t="s">
        <v>9</v>
      </c>
      <c r="D123" t="s">
        <v>101</v>
      </c>
      <c r="E123">
        <v>48000</v>
      </c>
      <c r="F123">
        <v>2</v>
      </c>
      <c r="G123">
        <v>1</v>
      </c>
    </row>
    <row r="124" spans="1:7" x14ac:dyDescent="0.3">
      <c r="A124" t="s">
        <v>254</v>
      </c>
      <c r="B124" t="s">
        <v>255</v>
      </c>
      <c r="C124" t="s">
        <v>9</v>
      </c>
      <c r="D124" t="s">
        <v>101</v>
      </c>
      <c r="E124">
        <v>68000</v>
      </c>
      <c r="F124">
        <v>2</v>
      </c>
      <c r="G124">
        <v>1</v>
      </c>
    </row>
    <row r="125" spans="1:7" x14ac:dyDescent="0.3">
      <c r="A125" t="s">
        <v>256</v>
      </c>
      <c r="B125" t="s">
        <v>257</v>
      </c>
      <c r="C125" t="s">
        <v>9</v>
      </c>
      <c r="D125" t="s">
        <v>101</v>
      </c>
      <c r="E125">
        <v>59000</v>
      </c>
      <c r="F125">
        <v>2</v>
      </c>
      <c r="G125">
        <v>1</v>
      </c>
    </row>
    <row r="126" spans="1:7" x14ac:dyDescent="0.3">
      <c r="A126" t="s">
        <v>258</v>
      </c>
      <c r="B126" t="s">
        <v>259</v>
      </c>
      <c r="C126" t="s">
        <v>9</v>
      </c>
      <c r="D126" t="s">
        <v>101</v>
      </c>
      <c r="E126">
        <v>48000</v>
      </c>
      <c r="F126">
        <v>4</v>
      </c>
      <c r="G126">
        <v>2</v>
      </c>
    </row>
    <row r="127" spans="1:7" x14ac:dyDescent="0.3">
      <c r="A127" t="s">
        <v>260</v>
      </c>
      <c r="B127" t="s">
        <v>261</v>
      </c>
      <c r="C127" t="s">
        <v>9</v>
      </c>
      <c r="D127" t="s">
        <v>101</v>
      </c>
      <c r="E127">
        <v>158000</v>
      </c>
      <c r="F127">
        <v>2</v>
      </c>
      <c r="G127">
        <v>1</v>
      </c>
    </row>
    <row r="128" spans="1:7" x14ac:dyDescent="0.3">
      <c r="A128" t="s">
        <v>262</v>
      </c>
      <c r="B128" t="s">
        <v>263</v>
      </c>
      <c r="C128" t="s">
        <v>9</v>
      </c>
      <c r="D128" t="s">
        <v>101</v>
      </c>
      <c r="E128">
        <v>120000</v>
      </c>
      <c r="F128">
        <v>2</v>
      </c>
      <c r="G128">
        <v>1</v>
      </c>
    </row>
    <row r="129" spans="1:7" x14ac:dyDescent="0.3">
      <c r="A129" t="s">
        <v>264</v>
      </c>
      <c r="B129" t="s">
        <v>265</v>
      </c>
      <c r="C129" t="s">
        <v>9</v>
      </c>
      <c r="D129" t="s">
        <v>101</v>
      </c>
      <c r="E129">
        <v>150000</v>
      </c>
      <c r="F129">
        <v>2</v>
      </c>
      <c r="G129">
        <v>1</v>
      </c>
    </row>
    <row r="130" spans="1:7" x14ac:dyDescent="0.3">
      <c r="A130" t="s">
        <v>266</v>
      </c>
      <c r="B130" t="s">
        <v>267</v>
      </c>
      <c r="C130" t="s">
        <v>9</v>
      </c>
      <c r="D130" t="s">
        <v>101</v>
      </c>
      <c r="E130">
        <v>220000</v>
      </c>
      <c r="F130">
        <v>3</v>
      </c>
      <c r="G130">
        <v>3</v>
      </c>
    </row>
    <row r="131" spans="1:7" x14ac:dyDescent="0.3">
      <c r="A131" t="s">
        <v>268</v>
      </c>
      <c r="B131" t="s">
        <v>269</v>
      </c>
      <c r="C131" t="s">
        <v>9</v>
      </c>
      <c r="D131" t="s">
        <v>101</v>
      </c>
      <c r="E131">
        <v>220000</v>
      </c>
      <c r="F131">
        <v>1</v>
      </c>
      <c r="G131">
        <v>1</v>
      </c>
    </row>
    <row r="132" spans="1:7" x14ac:dyDescent="0.3">
      <c r="A132" t="s">
        <v>270</v>
      </c>
      <c r="B132" t="s">
        <v>271</v>
      </c>
      <c r="C132" t="s">
        <v>9</v>
      </c>
      <c r="D132" t="s">
        <v>101</v>
      </c>
      <c r="E132">
        <v>120000</v>
      </c>
      <c r="F132">
        <v>2</v>
      </c>
      <c r="G132">
        <v>1</v>
      </c>
    </row>
    <row r="133" spans="1:7" x14ac:dyDescent="0.3">
      <c r="A133" t="s">
        <v>272</v>
      </c>
      <c r="B133" t="s">
        <v>273</v>
      </c>
      <c r="C133" t="s">
        <v>9</v>
      </c>
      <c r="D133" t="s">
        <v>101</v>
      </c>
      <c r="E133">
        <v>120000</v>
      </c>
      <c r="F133">
        <v>2</v>
      </c>
      <c r="G133">
        <v>1</v>
      </c>
    </row>
    <row r="134" spans="1:7" x14ac:dyDescent="0.3">
      <c r="A134" t="s">
        <v>274</v>
      </c>
      <c r="B134" t="s">
        <v>275</v>
      </c>
      <c r="C134" t="s">
        <v>9</v>
      </c>
      <c r="D134" t="s">
        <v>101</v>
      </c>
      <c r="E134">
        <v>180000</v>
      </c>
      <c r="F134">
        <v>2</v>
      </c>
      <c r="G134">
        <v>1</v>
      </c>
    </row>
    <row r="135" spans="1:7" x14ac:dyDescent="0.3">
      <c r="A135" t="s">
        <v>276</v>
      </c>
      <c r="B135" t="s">
        <v>277</v>
      </c>
      <c r="C135" t="s">
        <v>9</v>
      </c>
      <c r="D135" t="s">
        <v>101</v>
      </c>
      <c r="E135">
        <v>120000</v>
      </c>
      <c r="F135">
        <v>2</v>
      </c>
      <c r="G135">
        <v>1</v>
      </c>
    </row>
    <row r="136" spans="1:7" x14ac:dyDescent="0.3">
      <c r="A136" t="s">
        <v>278</v>
      </c>
      <c r="B136" t="s">
        <v>279</v>
      </c>
      <c r="C136" t="s">
        <v>9</v>
      </c>
      <c r="D136" t="s">
        <v>101</v>
      </c>
      <c r="E136">
        <v>120000</v>
      </c>
      <c r="F136">
        <v>2</v>
      </c>
      <c r="G136">
        <v>1</v>
      </c>
    </row>
    <row r="137" spans="1:7" x14ac:dyDescent="0.3">
      <c r="A137" t="s">
        <v>280</v>
      </c>
      <c r="B137" t="s">
        <v>281</v>
      </c>
      <c r="C137" t="s">
        <v>9</v>
      </c>
      <c r="D137" t="s">
        <v>101</v>
      </c>
      <c r="E137">
        <v>120000</v>
      </c>
      <c r="F137">
        <v>2</v>
      </c>
      <c r="G137">
        <v>1</v>
      </c>
    </row>
    <row r="138" spans="1:7" x14ac:dyDescent="0.3">
      <c r="A138" t="s">
        <v>282</v>
      </c>
      <c r="B138" t="s">
        <v>283</v>
      </c>
      <c r="C138" t="s">
        <v>9</v>
      </c>
      <c r="D138" t="s">
        <v>101</v>
      </c>
      <c r="E138">
        <v>120000</v>
      </c>
      <c r="F138">
        <v>2</v>
      </c>
      <c r="G138">
        <v>1</v>
      </c>
    </row>
    <row r="139" spans="1:7" x14ac:dyDescent="0.3">
      <c r="A139" t="s">
        <v>284</v>
      </c>
      <c r="B139" t="s">
        <v>285</v>
      </c>
      <c r="C139" t="s">
        <v>9</v>
      </c>
      <c r="D139" t="s">
        <v>101</v>
      </c>
      <c r="E139">
        <v>133500</v>
      </c>
      <c r="F139">
        <v>2</v>
      </c>
      <c r="G139">
        <v>1</v>
      </c>
    </row>
    <row r="140" spans="1:7" x14ac:dyDescent="0.3">
      <c r="A140" t="s">
        <v>286</v>
      </c>
      <c r="B140" t="s">
        <v>287</v>
      </c>
      <c r="C140" t="s">
        <v>9</v>
      </c>
      <c r="D140" t="s">
        <v>101</v>
      </c>
      <c r="E140">
        <v>66750</v>
      </c>
      <c r="F140">
        <v>2</v>
      </c>
      <c r="G140">
        <v>1</v>
      </c>
    </row>
    <row r="141" spans="1:7" x14ac:dyDescent="0.3">
      <c r="A141" t="s">
        <v>288</v>
      </c>
      <c r="B141" t="s">
        <v>289</v>
      </c>
      <c r="C141" t="s">
        <v>9</v>
      </c>
      <c r="D141" t="s">
        <v>101</v>
      </c>
      <c r="E141">
        <v>174000</v>
      </c>
      <c r="F141">
        <v>3</v>
      </c>
      <c r="G141">
        <v>1</v>
      </c>
    </row>
    <row r="142" spans="1:7" x14ac:dyDescent="0.3">
      <c r="A142" t="s">
        <v>290</v>
      </c>
      <c r="B142" t="s">
        <v>291</v>
      </c>
      <c r="C142" t="s">
        <v>9</v>
      </c>
      <c r="D142" t="s">
        <v>101</v>
      </c>
      <c r="E142">
        <v>174000</v>
      </c>
      <c r="F142">
        <v>3</v>
      </c>
      <c r="G142">
        <v>1</v>
      </c>
    </row>
    <row r="143" spans="1:7" x14ac:dyDescent="0.3">
      <c r="A143" t="s">
        <v>292</v>
      </c>
      <c r="B143" t="s">
        <v>293</v>
      </c>
      <c r="C143" t="s">
        <v>9</v>
      </c>
      <c r="D143" t="s">
        <v>101</v>
      </c>
      <c r="E143">
        <v>12000</v>
      </c>
      <c r="F143">
        <v>6</v>
      </c>
      <c r="G143">
        <v>5</v>
      </c>
    </row>
    <row r="144" spans="1:7" x14ac:dyDescent="0.3">
      <c r="A144" t="s">
        <v>294</v>
      </c>
      <c r="B144" t="s">
        <v>295</v>
      </c>
      <c r="C144" t="s">
        <v>9</v>
      </c>
      <c r="D144" t="s">
        <v>101</v>
      </c>
      <c r="E144">
        <v>12000</v>
      </c>
      <c r="F144">
        <v>30</v>
      </c>
      <c r="G144">
        <v>20</v>
      </c>
    </row>
    <row r="145" spans="1:7" x14ac:dyDescent="0.3">
      <c r="A145" t="s">
        <v>296</v>
      </c>
      <c r="B145" t="s">
        <v>297</v>
      </c>
      <c r="C145" t="s">
        <v>9</v>
      </c>
      <c r="D145" t="s">
        <v>101</v>
      </c>
      <c r="E145">
        <v>12000</v>
      </c>
      <c r="F145">
        <v>13</v>
      </c>
      <c r="G145">
        <v>10</v>
      </c>
    </row>
    <row r="146" spans="1:7" x14ac:dyDescent="0.3">
      <c r="A146" t="s">
        <v>298</v>
      </c>
      <c r="B146" t="s">
        <v>299</v>
      </c>
      <c r="C146" t="s">
        <v>9</v>
      </c>
      <c r="D146" t="s">
        <v>101</v>
      </c>
      <c r="E146">
        <v>12000</v>
      </c>
      <c r="F146">
        <v>30</v>
      </c>
      <c r="G146">
        <v>20</v>
      </c>
    </row>
    <row r="147" spans="1:7" x14ac:dyDescent="0.3">
      <c r="A147" t="s">
        <v>300</v>
      </c>
      <c r="B147" t="s">
        <v>301</v>
      </c>
      <c r="C147" t="s">
        <v>9</v>
      </c>
      <c r="D147" t="s">
        <v>101</v>
      </c>
      <c r="E147">
        <v>12000</v>
      </c>
      <c r="F147">
        <v>6</v>
      </c>
      <c r="G147">
        <v>5</v>
      </c>
    </row>
    <row r="148" spans="1:7" x14ac:dyDescent="0.3">
      <c r="A148" t="s">
        <v>302</v>
      </c>
      <c r="B148" t="s">
        <v>303</v>
      </c>
      <c r="C148" t="s">
        <v>9</v>
      </c>
      <c r="D148" t="s">
        <v>101</v>
      </c>
      <c r="E148">
        <v>12000</v>
      </c>
      <c r="F148">
        <v>4</v>
      </c>
      <c r="G148">
        <v>3</v>
      </c>
    </row>
    <row r="149" spans="1:7" x14ac:dyDescent="0.3">
      <c r="A149" t="s">
        <v>304</v>
      </c>
      <c r="B149" t="s">
        <v>305</v>
      </c>
      <c r="C149" t="s">
        <v>9</v>
      </c>
      <c r="D149" t="s">
        <v>101</v>
      </c>
      <c r="E149">
        <v>12000</v>
      </c>
      <c r="F149">
        <v>40</v>
      </c>
      <c r="G149">
        <v>20</v>
      </c>
    </row>
    <row r="150" spans="1:7" x14ac:dyDescent="0.3">
      <c r="A150" t="s">
        <v>306</v>
      </c>
      <c r="B150" t="s">
        <v>307</v>
      </c>
      <c r="C150" t="s">
        <v>9</v>
      </c>
      <c r="D150" t="s">
        <v>101</v>
      </c>
      <c r="E150">
        <v>12000</v>
      </c>
      <c r="F150">
        <v>15</v>
      </c>
      <c r="G150">
        <v>10</v>
      </c>
    </row>
    <row r="151" spans="1:7" x14ac:dyDescent="0.3">
      <c r="A151" t="s">
        <v>308</v>
      </c>
      <c r="B151" t="s">
        <v>309</v>
      </c>
      <c r="C151" t="s">
        <v>9</v>
      </c>
      <c r="D151" t="s">
        <v>101</v>
      </c>
      <c r="E151">
        <v>12000</v>
      </c>
      <c r="F151">
        <v>13</v>
      </c>
      <c r="G151">
        <v>10</v>
      </c>
    </row>
    <row r="152" spans="1:7" x14ac:dyDescent="0.3">
      <c r="A152" t="s">
        <v>310</v>
      </c>
      <c r="B152" t="s">
        <v>311</v>
      </c>
      <c r="C152" t="s">
        <v>9</v>
      </c>
      <c r="D152" t="s">
        <v>101</v>
      </c>
      <c r="E152">
        <v>150000</v>
      </c>
      <c r="F152">
        <v>1</v>
      </c>
      <c r="G152">
        <v>1</v>
      </c>
    </row>
    <row r="153" spans="1:7" x14ac:dyDescent="0.3">
      <c r="A153" t="s">
        <v>312</v>
      </c>
      <c r="B153" t="s">
        <v>313</v>
      </c>
      <c r="C153" t="s">
        <v>9</v>
      </c>
      <c r="D153" t="s">
        <v>101</v>
      </c>
      <c r="E153">
        <v>258000</v>
      </c>
      <c r="F153">
        <v>2</v>
      </c>
      <c r="G153">
        <v>1</v>
      </c>
    </row>
    <row r="154" spans="1:7" x14ac:dyDescent="0.3">
      <c r="A154" t="s">
        <v>314</v>
      </c>
      <c r="B154" t="s">
        <v>315</v>
      </c>
      <c r="C154" t="s">
        <v>9</v>
      </c>
      <c r="D154" t="s">
        <v>101</v>
      </c>
      <c r="E154">
        <v>258000</v>
      </c>
      <c r="F154">
        <v>2</v>
      </c>
      <c r="G154">
        <v>1</v>
      </c>
    </row>
    <row r="155" spans="1:7" x14ac:dyDescent="0.3">
      <c r="A155" t="s">
        <v>316</v>
      </c>
      <c r="B155" t="s">
        <v>317</v>
      </c>
      <c r="C155" t="s">
        <v>318</v>
      </c>
      <c r="D155" t="s">
        <v>10</v>
      </c>
      <c r="E155">
        <v>120000</v>
      </c>
      <c r="F155">
        <v>1</v>
      </c>
      <c r="G155">
        <v>1</v>
      </c>
    </row>
    <row r="156" spans="1:7" x14ac:dyDescent="0.3">
      <c r="A156" t="s">
        <v>319</v>
      </c>
      <c r="B156" t="s">
        <v>320</v>
      </c>
      <c r="C156" t="s">
        <v>318</v>
      </c>
      <c r="D156" t="s">
        <v>10</v>
      </c>
      <c r="E156">
        <v>64000</v>
      </c>
      <c r="F156">
        <v>1</v>
      </c>
      <c r="G156">
        <v>1</v>
      </c>
    </row>
    <row r="157" spans="1:7" x14ac:dyDescent="0.3">
      <c r="A157" t="s">
        <v>321</v>
      </c>
      <c r="B157" t="s">
        <v>322</v>
      </c>
      <c r="C157" t="s">
        <v>318</v>
      </c>
      <c r="D157" t="s">
        <v>101</v>
      </c>
      <c r="E157">
        <v>48000</v>
      </c>
      <c r="F157">
        <v>2</v>
      </c>
      <c r="G157">
        <v>1</v>
      </c>
    </row>
    <row r="158" spans="1:7" x14ac:dyDescent="0.3">
      <c r="A158" t="s">
        <v>323</v>
      </c>
      <c r="B158" t="s">
        <v>324</v>
      </c>
      <c r="C158" t="s">
        <v>318</v>
      </c>
      <c r="D158" t="s">
        <v>10</v>
      </c>
      <c r="E158">
        <v>48000</v>
      </c>
      <c r="F158">
        <v>1</v>
      </c>
      <c r="G158">
        <v>1</v>
      </c>
    </row>
    <row r="159" spans="1:7" x14ac:dyDescent="0.3">
      <c r="A159" t="s">
        <v>325</v>
      </c>
      <c r="B159" t="s">
        <v>326</v>
      </c>
      <c r="C159" t="s">
        <v>318</v>
      </c>
      <c r="D159" t="s">
        <v>101</v>
      </c>
      <c r="E159">
        <v>99000</v>
      </c>
      <c r="F159">
        <v>2</v>
      </c>
      <c r="G159">
        <v>1</v>
      </c>
    </row>
    <row r="160" spans="1:7" x14ac:dyDescent="0.3">
      <c r="A160" t="s">
        <v>327</v>
      </c>
      <c r="B160" t="s">
        <v>328</v>
      </c>
      <c r="C160" t="s">
        <v>318</v>
      </c>
      <c r="D160" t="s">
        <v>10</v>
      </c>
      <c r="E160">
        <v>48000</v>
      </c>
      <c r="F160">
        <v>1</v>
      </c>
      <c r="G160">
        <v>1</v>
      </c>
    </row>
    <row r="161" spans="1:7" x14ac:dyDescent="0.3">
      <c r="A161" t="s">
        <v>329</v>
      </c>
      <c r="B161" t="s">
        <v>330</v>
      </c>
      <c r="C161" t="s">
        <v>318</v>
      </c>
      <c r="D161" t="s">
        <v>10</v>
      </c>
      <c r="E161">
        <v>87000</v>
      </c>
      <c r="F161">
        <v>1</v>
      </c>
      <c r="G161">
        <v>1</v>
      </c>
    </row>
    <row r="162" spans="1:7" x14ac:dyDescent="0.3">
      <c r="A162" t="s">
        <v>331</v>
      </c>
      <c r="B162" t="s">
        <v>332</v>
      </c>
      <c r="C162" t="s">
        <v>318</v>
      </c>
      <c r="D162" t="s">
        <v>10</v>
      </c>
      <c r="E162">
        <v>108000</v>
      </c>
      <c r="F162">
        <v>1</v>
      </c>
      <c r="G162">
        <v>1</v>
      </c>
    </row>
    <row r="163" spans="1:7" x14ac:dyDescent="0.3">
      <c r="A163" t="s">
        <v>333</v>
      </c>
      <c r="B163" t="s">
        <v>334</v>
      </c>
      <c r="C163" t="s">
        <v>318</v>
      </c>
      <c r="D163" t="s">
        <v>10</v>
      </c>
      <c r="E163">
        <v>48000</v>
      </c>
      <c r="F163">
        <v>1</v>
      </c>
      <c r="G163">
        <v>1</v>
      </c>
    </row>
    <row r="164" spans="1:7" x14ac:dyDescent="0.3">
      <c r="A164" t="s">
        <v>335</v>
      </c>
      <c r="B164" t="s">
        <v>336</v>
      </c>
      <c r="C164" t="s">
        <v>318</v>
      </c>
      <c r="D164" t="s">
        <v>10</v>
      </c>
      <c r="E164">
        <v>50000</v>
      </c>
      <c r="F164">
        <v>1</v>
      </c>
      <c r="G164">
        <v>1</v>
      </c>
    </row>
    <row r="165" spans="1:7" x14ac:dyDescent="0.3">
      <c r="A165" t="s">
        <v>337</v>
      </c>
      <c r="B165" t="s">
        <v>338</v>
      </c>
      <c r="C165" t="s">
        <v>318</v>
      </c>
      <c r="D165" t="s">
        <v>10</v>
      </c>
      <c r="E165">
        <v>78000</v>
      </c>
      <c r="F165">
        <v>1</v>
      </c>
      <c r="G165">
        <v>1</v>
      </c>
    </row>
    <row r="166" spans="1:7" x14ac:dyDescent="0.3">
      <c r="A166" t="s">
        <v>339</v>
      </c>
      <c r="B166" t="s">
        <v>340</v>
      </c>
      <c r="C166" t="s">
        <v>318</v>
      </c>
      <c r="D166" t="s">
        <v>10</v>
      </c>
      <c r="E166">
        <v>165000</v>
      </c>
      <c r="F166">
        <v>1</v>
      </c>
      <c r="G166">
        <v>1</v>
      </c>
    </row>
    <row r="167" spans="1:7" x14ac:dyDescent="0.3">
      <c r="A167" t="s">
        <v>341</v>
      </c>
      <c r="B167" t="s">
        <v>342</v>
      </c>
      <c r="C167" t="s">
        <v>318</v>
      </c>
      <c r="D167" t="s">
        <v>10</v>
      </c>
      <c r="E167">
        <v>148000</v>
      </c>
      <c r="F167">
        <v>1</v>
      </c>
      <c r="G167">
        <v>1</v>
      </c>
    </row>
    <row r="168" spans="1:7" x14ac:dyDescent="0.3">
      <c r="A168" t="s">
        <v>343</v>
      </c>
      <c r="B168" t="s">
        <v>344</v>
      </c>
      <c r="C168" t="s">
        <v>318</v>
      </c>
      <c r="D168" t="s">
        <v>10</v>
      </c>
      <c r="E168">
        <v>68000</v>
      </c>
      <c r="F168">
        <v>1</v>
      </c>
      <c r="G168">
        <v>1</v>
      </c>
    </row>
    <row r="169" spans="1:7" x14ac:dyDescent="0.3">
      <c r="A169" t="s">
        <v>345</v>
      </c>
      <c r="B169" t="s">
        <v>346</v>
      </c>
      <c r="C169" t="s">
        <v>318</v>
      </c>
      <c r="D169" t="s">
        <v>10</v>
      </c>
      <c r="E169">
        <v>59000</v>
      </c>
      <c r="F169">
        <v>1</v>
      </c>
      <c r="G169">
        <v>1</v>
      </c>
    </row>
    <row r="170" spans="1:7" x14ac:dyDescent="0.3">
      <c r="A170" t="s">
        <v>347</v>
      </c>
      <c r="B170" t="s">
        <v>348</v>
      </c>
      <c r="C170" t="s">
        <v>318</v>
      </c>
      <c r="D170" t="s">
        <v>10</v>
      </c>
      <c r="E170">
        <v>48000</v>
      </c>
      <c r="F170">
        <v>1</v>
      </c>
      <c r="G170">
        <v>1</v>
      </c>
    </row>
    <row r="171" spans="1:7" x14ac:dyDescent="0.3">
      <c r="A171" t="s">
        <v>349</v>
      </c>
      <c r="B171" t="s">
        <v>350</v>
      </c>
      <c r="C171" t="s">
        <v>318</v>
      </c>
      <c r="D171" t="s">
        <v>10</v>
      </c>
      <c r="E171">
        <v>99000</v>
      </c>
      <c r="F171">
        <v>1</v>
      </c>
      <c r="G171">
        <v>1</v>
      </c>
    </row>
    <row r="172" spans="1:7" x14ac:dyDescent="0.3">
      <c r="A172" t="s">
        <v>351</v>
      </c>
      <c r="B172" t="s">
        <v>352</v>
      </c>
      <c r="C172" t="s">
        <v>318</v>
      </c>
      <c r="D172" t="s">
        <v>10</v>
      </c>
      <c r="E172">
        <v>68000</v>
      </c>
      <c r="F172">
        <v>1</v>
      </c>
      <c r="G172">
        <v>1</v>
      </c>
    </row>
    <row r="173" spans="1:7" x14ac:dyDescent="0.3">
      <c r="A173" t="s">
        <v>353</v>
      </c>
      <c r="B173" t="s">
        <v>354</v>
      </c>
      <c r="C173" t="s">
        <v>318</v>
      </c>
      <c r="D173" t="s">
        <v>10</v>
      </c>
      <c r="E173">
        <v>59000</v>
      </c>
      <c r="F173">
        <v>1</v>
      </c>
      <c r="G173">
        <v>1</v>
      </c>
    </row>
    <row r="174" spans="1:7" x14ac:dyDescent="0.3">
      <c r="A174" t="s">
        <v>355</v>
      </c>
      <c r="B174" t="s">
        <v>356</v>
      </c>
      <c r="C174" t="s">
        <v>318</v>
      </c>
      <c r="D174" t="s">
        <v>10</v>
      </c>
      <c r="E174">
        <v>70000</v>
      </c>
      <c r="F174">
        <v>1</v>
      </c>
      <c r="G174">
        <v>1</v>
      </c>
    </row>
    <row r="175" spans="1:7" x14ac:dyDescent="0.3">
      <c r="A175" t="s">
        <v>357</v>
      </c>
      <c r="B175" t="s">
        <v>358</v>
      </c>
      <c r="C175" t="s">
        <v>359</v>
      </c>
      <c r="D175" t="s">
        <v>101</v>
      </c>
      <c r="E175">
        <v>48000</v>
      </c>
      <c r="F175">
        <v>2</v>
      </c>
      <c r="G175">
        <v>1</v>
      </c>
    </row>
    <row r="176" spans="1:7" x14ac:dyDescent="0.3">
      <c r="A176" t="s">
        <v>360</v>
      </c>
      <c r="B176" t="s">
        <v>361</v>
      </c>
      <c r="C176" t="s">
        <v>359</v>
      </c>
      <c r="D176" t="s">
        <v>10</v>
      </c>
      <c r="E176">
        <v>30000</v>
      </c>
      <c r="F176">
        <v>1</v>
      </c>
      <c r="G176">
        <v>1</v>
      </c>
    </row>
    <row r="177" spans="1:7" x14ac:dyDescent="0.3">
      <c r="A177" t="s">
        <v>362</v>
      </c>
      <c r="B177" t="s">
        <v>363</v>
      </c>
      <c r="C177" t="s">
        <v>359</v>
      </c>
      <c r="D177" t="s">
        <v>101</v>
      </c>
      <c r="E177">
        <v>30000</v>
      </c>
      <c r="F177">
        <v>1</v>
      </c>
      <c r="G177">
        <v>1</v>
      </c>
    </row>
    <row r="178" spans="1:7" x14ac:dyDescent="0.3">
      <c r="A178" t="s">
        <v>364</v>
      </c>
      <c r="B178" t="s">
        <v>365</v>
      </c>
      <c r="C178" t="s">
        <v>359</v>
      </c>
      <c r="D178" t="s">
        <v>101</v>
      </c>
      <c r="E178">
        <v>30000</v>
      </c>
      <c r="F178">
        <v>1</v>
      </c>
      <c r="G178">
        <v>1</v>
      </c>
    </row>
    <row r="179" spans="1:7" x14ac:dyDescent="0.3">
      <c r="A179" t="s">
        <v>366</v>
      </c>
      <c r="B179" t="s">
        <v>367</v>
      </c>
      <c r="C179" t="s">
        <v>359</v>
      </c>
      <c r="D179" t="s">
        <v>101</v>
      </c>
      <c r="E179">
        <v>30000</v>
      </c>
      <c r="F179">
        <v>1</v>
      </c>
      <c r="G179">
        <v>1</v>
      </c>
    </row>
    <row r="180" spans="1:7" x14ac:dyDescent="0.3">
      <c r="A180" t="s">
        <v>368</v>
      </c>
      <c r="B180" t="s">
        <v>369</v>
      </c>
      <c r="C180" t="s">
        <v>359</v>
      </c>
      <c r="D180" t="s">
        <v>101</v>
      </c>
      <c r="E180">
        <v>30000</v>
      </c>
      <c r="F180">
        <v>1</v>
      </c>
      <c r="G180">
        <v>1</v>
      </c>
    </row>
    <row r="181" spans="1:7" x14ac:dyDescent="0.3">
      <c r="A181" t="s">
        <v>370</v>
      </c>
      <c r="B181" t="s">
        <v>371</v>
      </c>
      <c r="C181" t="s">
        <v>359</v>
      </c>
      <c r="D181" t="s">
        <v>101</v>
      </c>
      <c r="E181">
        <v>30000</v>
      </c>
      <c r="F181">
        <v>1</v>
      </c>
      <c r="G181">
        <v>1</v>
      </c>
    </row>
    <row r="182" spans="1:7" x14ac:dyDescent="0.3">
      <c r="A182" t="s">
        <v>372</v>
      </c>
      <c r="B182" t="s">
        <v>373</v>
      </c>
      <c r="C182" t="s">
        <v>359</v>
      </c>
      <c r="D182" t="s">
        <v>101</v>
      </c>
      <c r="E182">
        <v>30000</v>
      </c>
      <c r="F182">
        <v>1</v>
      </c>
      <c r="G182">
        <v>1</v>
      </c>
    </row>
    <row r="183" spans="1:7" x14ac:dyDescent="0.3">
      <c r="A183" t="s">
        <v>374</v>
      </c>
      <c r="B183" t="s">
        <v>375</v>
      </c>
      <c r="C183" t="s">
        <v>359</v>
      </c>
      <c r="D183" t="s">
        <v>101</v>
      </c>
      <c r="E183">
        <v>30000</v>
      </c>
      <c r="F183">
        <v>1</v>
      </c>
      <c r="G183">
        <v>1</v>
      </c>
    </row>
    <row r="184" spans="1:7" x14ac:dyDescent="0.3">
      <c r="A184" t="s">
        <v>376</v>
      </c>
      <c r="B184" t="s">
        <v>377</v>
      </c>
      <c r="C184" t="s">
        <v>359</v>
      </c>
      <c r="D184" t="s">
        <v>10</v>
      </c>
      <c r="E184">
        <v>30000</v>
      </c>
      <c r="F184">
        <v>1</v>
      </c>
      <c r="G184">
        <v>1</v>
      </c>
    </row>
    <row r="185" spans="1:7" x14ac:dyDescent="0.3">
      <c r="A185" t="s">
        <v>378</v>
      </c>
      <c r="B185" t="s">
        <v>379</v>
      </c>
      <c r="C185" t="s">
        <v>359</v>
      </c>
      <c r="D185" t="s">
        <v>10</v>
      </c>
      <c r="E185">
        <v>30000</v>
      </c>
      <c r="F185">
        <v>1</v>
      </c>
      <c r="G185">
        <v>1</v>
      </c>
    </row>
    <row r="186" spans="1:7" x14ac:dyDescent="0.3">
      <c r="A186" t="s">
        <v>380</v>
      </c>
      <c r="B186" t="s">
        <v>381</v>
      </c>
      <c r="C186" t="s">
        <v>359</v>
      </c>
      <c r="D186" t="s">
        <v>10</v>
      </c>
      <c r="E186">
        <v>30000</v>
      </c>
      <c r="F186">
        <v>1</v>
      </c>
      <c r="G186">
        <v>1</v>
      </c>
    </row>
    <row r="187" spans="1:7" x14ac:dyDescent="0.3">
      <c r="A187" t="s">
        <v>382</v>
      </c>
      <c r="B187" t="s">
        <v>383</v>
      </c>
      <c r="C187" t="s">
        <v>359</v>
      </c>
      <c r="D187" t="s">
        <v>101</v>
      </c>
      <c r="E187">
        <v>30000</v>
      </c>
      <c r="F187">
        <v>1</v>
      </c>
      <c r="G187">
        <v>1</v>
      </c>
    </row>
    <row r="188" spans="1:7" x14ac:dyDescent="0.3">
      <c r="A188" t="s">
        <v>384</v>
      </c>
      <c r="B188" t="s">
        <v>385</v>
      </c>
      <c r="C188" t="s">
        <v>359</v>
      </c>
      <c r="D188" t="s">
        <v>101</v>
      </c>
      <c r="E188">
        <v>30000</v>
      </c>
      <c r="F188">
        <v>1</v>
      </c>
      <c r="G188">
        <v>1</v>
      </c>
    </row>
    <row r="189" spans="1:7" x14ac:dyDescent="0.3">
      <c r="A189" t="s">
        <v>386</v>
      </c>
      <c r="B189" t="s">
        <v>387</v>
      </c>
      <c r="C189" t="s">
        <v>359</v>
      </c>
      <c r="D189" t="s">
        <v>101</v>
      </c>
      <c r="E189">
        <v>30000</v>
      </c>
      <c r="F189">
        <v>1</v>
      </c>
      <c r="G189">
        <v>1</v>
      </c>
    </row>
    <row r="190" spans="1:7" x14ac:dyDescent="0.3">
      <c r="A190" t="s">
        <v>388</v>
      </c>
      <c r="B190" t="s">
        <v>389</v>
      </c>
      <c r="C190" t="s">
        <v>359</v>
      </c>
      <c r="D190" t="s">
        <v>10</v>
      </c>
      <c r="E190">
        <v>45000</v>
      </c>
      <c r="F190">
        <v>1</v>
      </c>
      <c r="G190">
        <v>1</v>
      </c>
    </row>
    <row r="191" spans="1:7" x14ac:dyDescent="0.3">
      <c r="A191" t="s">
        <v>390</v>
      </c>
      <c r="B191" t="s">
        <v>391</v>
      </c>
      <c r="C191" t="s">
        <v>359</v>
      </c>
      <c r="D191" t="s">
        <v>10</v>
      </c>
      <c r="E191">
        <v>48000</v>
      </c>
      <c r="F191">
        <v>1</v>
      </c>
      <c r="G191">
        <v>1</v>
      </c>
    </row>
    <row r="192" spans="1:7" x14ac:dyDescent="0.3">
      <c r="A192" t="s">
        <v>392</v>
      </c>
      <c r="B192" t="s">
        <v>393</v>
      </c>
      <c r="C192" t="s">
        <v>359</v>
      </c>
      <c r="D192" t="s">
        <v>10</v>
      </c>
      <c r="E192">
        <v>52000</v>
      </c>
      <c r="F192">
        <v>1</v>
      </c>
      <c r="G192">
        <v>1</v>
      </c>
    </row>
    <row r="193" spans="1:7" x14ac:dyDescent="0.3">
      <c r="A193" t="s">
        <v>394</v>
      </c>
      <c r="B193" t="s">
        <v>395</v>
      </c>
      <c r="C193" t="s">
        <v>359</v>
      </c>
      <c r="D193" t="s">
        <v>10</v>
      </c>
      <c r="E193">
        <v>49000</v>
      </c>
      <c r="F193">
        <v>1</v>
      </c>
      <c r="G193">
        <v>1</v>
      </c>
    </row>
    <row r="194" spans="1:7" x14ac:dyDescent="0.3">
      <c r="A194" t="s">
        <v>396</v>
      </c>
      <c r="B194" t="s">
        <v>397</v>
      </c>
      <c r="C194" t="s">
        <v>359</v>
      </c>
      <c r="D194" t="s">
        <v>10</v>
      </c>
      <c r="E194">
        <v>70000</v>
      </c>
      <c r="F194">
        <v>1</v>
      </c>
      <c r="G194">
        <v>1</v>
      </c>
    </row>
    <row r="195" spans="1:7" x14ac:dyDescent="0.3">
      <c r="A195" t="s">
        <v>398</v>
      </c>
      <c r="B195" t="s">
        <v>399</v>
      </c>
      <c r="C195" t="s">
        <v>359</v>
      </c>
      <c r="D195" t="s">
        <v>10</v>
      </c>
      <c r="E195">
        <v>41000</v>
      </c>
      <c r="F195">
        <v>1</v>
      </c>
      <c r="G195">
        <v>1</v>
      </c>
    </row>
    <row r="196" spans="1:7" x14ac:dyDescent="0.3">
      <c r="A196" t="s">
        <v>400</v>
      </c>
      <c r="B196" t="s">
        <v>401</v>
      </c>
      <c r="C196" t="s">
        <v>359</v>
      </c>
      <c r="D196" t="s">
        <v>10</v>
      </c>
      <c r="E196">
        <v>59000</v>
      </c>
      <c r="F196">
        <v>1</v>
      </c>
      <c r="G196">
        <v>1</v>
      </c>
    </row>
    <row r="197" spans="1:7" x14ac:dyDescent="0.3">
      <c r="A197" t="s">
        <v>402</v>
      </c>
      <c r="B197" t="s">
        <v>403</v>
      </c>
      <c r="C197" t="s">
        <v>359</v>
      </c>
      <c r="D197" t="s">
        <v>10</v>
      </c>
      <c r="E197">
        <v>59000</v>
      </c>
      <c r="F197">
        <v>1</v>
      </c>
      <c r="G197">
        <v>1</v>
      </c>
    </row>
    <row r="198" spans="1:7" x14ac:dyDescent="0.3">
      <c r="A198" t="s">
        <v>404</v>
      </c>
      <c r="B198" t="s">
        <v>405</v>
      </c>
      <c r="C198" t="s">
        <v>359</v>
      </c>
      <c r="D198" t="s">
        <v>10</v>
      </c>
      <c r="E198">
        <v>41000</v>
      </c>
      <c r="F198">
        <v>1</v>
      </c>
      <c r="G198">
        <v>1</v>
      </c>
    </row>
    <row r="199" spans="1:7" x14ac:dyDescent="0.3">
      <c r="A199" t="s">
        <v>406</v>
      </c>
      <c r="B199" t="s">
        <v>407</v>
      </c>
      <c r="C199" t="s">
        <v>359</v>
      </c>
      <c r="D199" t="s">
        <v>101</v>
      </c>
      <c r="E199">
        <v>50000</v>
      </c>
      <c r="F199">
        <v>1</v>
      </c>
      <c r="G199">
        <v>1</v>
      </c>
    </row>
    <row r="200" spans="1:7" x14ac:dyDescent="0.3">
      <c r="A200" t="s">
        <v>408</v>
      </c>
      <c r="B200" t="s">
        <v>409</v>
      </c>
      <c r="C200" t="s">
        <v>359</v>
      </c>
      <c r="D200" t="s">
        <v>101</v>
      </c>
      <c r="E200">
        <v>24000</v>
      </c>
      <c r="F200">
        <v>2</v>
      </c>
      <c r="G200">
        <v>2</v>
      </c>
    </row>
    <row r="201" spans="1:7" x14ac:dyDescent="0.3">
      <c r="A201" t="s">
        <v>410</v>
      </c>
      <c r="B201" t="s">
        <v>411</v>
      </c>
      <c r="C201" t="s">
        <v>359</v>
      </c>
      <c r="D201" t="s">
        <v>101</v>
      </c>
      <c r="E201">
        <v>50000</v>
      </c>
      <c r="F201">
        <v>2</v>
      </c>
      <c r="G201">
        <v>1</v>
      </c>
    </row>
    <row r="202" spans="1:7" x14ac:dyDescent="0.3">
      <c r="A202" t="s">
        <v>412</v>
      </c>
      <c r="B202" t="s">
        <v>413</v>
      </c>
      <c r="C202" t="s">
        <v>359</v>
      </c>
      <c r="D202" t="s">
        <v>101</v>
      </c>
      <c r="E202">
        <v>50000</v>
      </c>
      <c r="F202">
        <v>2</v>
      </c>
      <c r="G202">
        <v>1</v>
      </c>
    </row>
    <row r="203" spans="1:7" x14ac:dyDescent="0.3">
      <c r="A203" t="s">
        <v>414</v>
      </c>
      <c r="B203" t="s">
        <v>415</v>
      </c>
      <c r="C203" t="s">
        <v>359</v>
      </c>
      <c r="D203" t="s">
        <v>101</v>
      </c>
      <c r="E203">
        <v>189000</v>
      </c>
      <c r="F203">
        <v>4</v>
      </c>
      <c r="G203">
        <v>1</v>
      </c>
    </row>
    <row r="204" spans="1:7" x14ac:dyDescent="0.3">
      <c r="A204" t="s">
        <v>416</v>
      </c>
      <c r="B204" t="s">
        <v>417</v>
      </c>
      <c r="C204" t="s">
        <v>359</v>
      </c>
      <c r="D204" t="s">
        <v>101</v>
      </c>
      <c r="E204">
        <v>139800</v>
      </c>
      <c r="F204">
        <v>3</v>
      </c>
      <c r="G204">
        <v>1</v>
      </c>
    </row>
    <row r="205" spans="1:7" x14ac:dyDescent="0.3">
      <c r="A205" t="s">
        <v>418</v>
      </c>
      <c r="B205" t="s">
        <v>419</v>
      </c>
      <c r="C205" t="s">
        <v>359</v>
      </c>
      <c r="D205" t="s">
        <v>101</v>
      </c>
      <c r="E205">
        <v>55900</v>
      </c>
      <c r="F205">
        <v>2</v>
      </c>
      <c r="G205">
        <v>1</v>
      </c>
    </row>
    <row r="206" spans="1:7" x14ac:dyDescent="0.3">
      <c r="A206" t="s">
        <v>420</v>
      </c>
      <c r="B206" t="s">
        <v>421</v>
      </c>
      <c r="C206" t="s">
        <v>359</v>
      </c>
      <c r="D206" t="s">
        <v>101</v>
      </c>
      <c r="E206">
        <v>48000</v>
      </c>
      <c r="F206">
        <v>1</v>
      </c>
      <c r="G206">
        <v>1</v>
      </c>
    </row>
    <row r="207" spans="1:7" x14ac:dyDescent="0.3">
      <c r="A207" t="s">
        <v>422</v>
      </c>
      <c r="B207" t="s">
        <v>423</v>
      </c>
      <c r="C207" t="s">
        <v>359</v>
      </c>
      <c r="D207" t="s">
        <v>101</v>
      </c>
      <c r="E207">
        <v>84900</v>
      </c>
      <c r="F207">
        <v>3</v>
      </c>
      <c r="G207">
        <v>1</v>
      </c>
    </row>
    <row r="208" spans="1:7" x14ac:dyDescent="0.3">
      <c r="A208" t="s">
        <v>424</v>
      </c>
      <c r="B208" t="s">
        <v>425</v>
      </c>
      <c r="C208" t="s">
        <v>359</v>
      </c>
      <c r="D208" t="s">
        <v>101</v>
      </c>
      <c r="E208">
        <v>64900</v>
      </c>
      <c r="F208">
        <v>2</v>
      </c>
      <c r="G208">
        <v>1</v>
      </c>
    </row>
    <row r="209" spans="1:7" x14ac:dyDescent="0.3">
      <c r="A209" t="s">
        <v>426</v>
      </c>
      <c r="B209" t="s">
        <v>427</v>
      </c>
      <c r="C209" t="s">
        <v>359</v>
      </c>
      <c r="D209" t="s">
        <v>10</v>
      </c>
      <c r="E209">
        <v>26000</v>
      </c>
      <c r="F209">
        <v>1</v>
      </c>
      <c r="G209">
        <v>1</v>
      </c>
    </row>
    <row r="210" spans="1:7" x14ac:dyDescent="0.3">
      <c r="A210" t="s">
        <v>428</v>
      </c>
      <c r="B210" t="s">
        <v>429</v>
      </c>
      <c r="C210" t="s">
        <v>359</v>
      </c>
      <c r="D210" t="s">
        <v>101</v>
      </c>
      <c r="E210">
        <v>104000</v>
      </c>
      <c r="F210">
        <v>4</v>
      </c>
      <c r="G210">
        <v>1</v>
      </c>
    </row>
    <row r="211" spans="1:7" x14ac:dyDescent="0.3">
      <c r="A211" t="s">
        <v>430</v>
      </c>
      <c r="B211" t="s">
        <v>431</v>
      </c>
      <c r="C211" t="s">
        <v>359</v>
      </c>
      <c r="D211" t="s">
        <v>101</v>
      </c>
      <c r="E211">
        <v>78000</v>
      </c>
      <c r="F211">
        <v>3</v>
      </c>
      <c r="G211">
        <v>1</v>
      </c>
    </row>
    <row r="212" spans="1:7" x14ac:dyDescent="0.3">
      <c r="A212" t="s">
        <v>432</v>
      </c>
      <c r="B212" t="s">
        <v>433</v>
      </c>
      <c r="C212" t="s">
        <v>359</v>
      </c>
      <c r="D212" t="s">
        <v>101</v>
      </c>
      <c r="E212">
        <v>52000</v>
      </c>
      <c r="F212">
        <v>2</v>
      </c>
      <c r="G212">
        <v>1</v>
      </c>
    </row>
    <row r="213" spans="1:7" x14ac:dyDescent="0.3">
      <c r="A213" t="s">
        <v>434</v>
      </c>
      <c r="B213" t="s">
        <v>435</v>
      </c>
      <c r="C213" t="s">
        <v>359</v>
      </c>
      <c r="D213" t="s">
        <v>101</v>
      </c>
      <c r="E213">
        <v>65900</v>
      </c>
      <c r="F213">
        <v>2</v>
      </c>
      <c r="G213">
        <v>1</v>
      </c>
    </row>
    <row r="214" spans="1:7" x14ac:dyDescent="0.3">
      <c r="A214" t="s">
        <v>436</v>
      </c>
      <c r="B214" t="s">
        <v>437</v>
      </c>
      <c r="C214" t="s">
        <v>359</v>
      </c>
      <c r="D214" t="s">
        <v>101</v>
      </c>
      <c r="E214">
        <v>76500</v>
      </c>
      <c r="F214">
        <v>2</v>
      </c>
      <c r="G214">
        <v>1</v>
      </c>
    </row>
    <row r="215" spans="1:7" x14ac:dyDescent="0.3">
      <c r="A215" t="s">
        <v>438</v>
      </c>
      <c r="B215" t="s">
        <v>439</v>
      </c>
      <c r="C215" t="s">
        <v>359</v>
      </c>
      <c r="D215" t="s">
        <v>101</v>
      </c>
      <c r="E215">
        <v>76500</v>
      </c>
      <c r="F215">
        <v>2</v>
      </c>
      <c r="G215">
        <v>1</v>
      </c>
    </row>
    <row r="216" spans="1:7" x14ac:dyDescent="0.3">
      <c r="A216" t="s">
        <v>440</v>
      </c>
      <c r="B216" t="s">
        <v>441</v>
      </c>
      <c r="C216" t="s">
        <v>359</v>
      </c>
      <c r="D216" t="s">
        <v>101</v>
      </c>
      <c r="E216">
        <v>65900</v>
      </c>
      <c r="F216">
        <v>2</v>
      </c>
      <c r="G216">
        <v>1</v>
      </c>
    </row>
    <row r="217" spans="1:7" x14ac:dyDescent="0.3">
      <c r="A217" t="s">
        <v>442</v>
      </c>
      <c r="B217" t="s">
        <v>443</v>
      </c>
      <c r="C217" t="s">
        <v>359</v>
      </c>
      <c r="D217" t="s">
        <v>101</v>
      </c>
      <c r="E217">
        <v>65900</v>
      </c>
      <c r="F217">
        <v>2</v>
      </c>
      <c r="G217">
        <v>1</v>
      </c>
    </row>
    <row r="218" spans="1:7" x14ac:dyDescent="0.3">
      <c r="A218" t="s">
        <v>444</v>
      </c>
      <c r="B218" t="s">
        <v>445</v>
      </c>
      <c r="C218" t="s">
        <v>359</v>
      </c>
      <c r="D218" t="s">
        <v>101</v>
      </c>
      <c r="E218">
        <v>180000</v>
      </c>
      <c r="F218">
        <v>6</v>
      </c>
      <c r="G218">
        <v>1</v>
      </c>
    </row>
    <row r="219" spans="1:7" x14ac:dyDescent="0.3">
      <c r="A219" t="s">
        <v>446</v>
      </c>
      <c r="B219" t="s">
        <v>447</v>
      </c>
      <c r="C219" t="s">
        <v>359</v>
      </c>
      <c r="D219" t="s">
        <v>101</v>
      </c>
      <c r="E219">
        <v>81900</v>
      </c>
      <c r="F219">
        <v>3</v>
      </c>
      <c r="G219">
        <v>1</v>
      </c>
    </row>
    <row r="220" spans="1:7" x14ac:dyDescent="0.3">
      <c r="A220" t="s">
        <v>448</v>
      </c>
      <c r="B220" t="s">
        <v>449</v>
      </c>
      <c r="C220" t="s">
        <v>359</v>
      </c>
      <c r="D220" t="s">
        <v>101</v>
      </c>
      <c r="E220">
        <v>59800</v>
      </c>
      <c r="F220">
        <v>2</v>
      </c>
      <c r="G220">
        <v>1</v>
      </c>
    </row>
    <row r="221" spans="1:7" x14ac:dyDescent="0.3">
      <c r="A221" t="s">
        <v>450</v>
      </c>
      <c r="B221" t="s">
        <v>451</v>
      </c>
      <c r="C221" t="s">
        <v>359</v>
      </c>
      <c r="D221" t="s">
        <v>101</v>
      </c>
      <c r="E221">
        <v>180000</v>
      </c>
      <c r="F221">
        <v>6</v>
      </c>
      <c r="G221">
        <v>1</v>
      </c>
    </row>
    <row r="222" spans="1:7" x14ac:dyDescent="0.3">
      <c r="A222" t="s">
        <v>452</v>
      </c>
      <c r="B222" t="s">
        <v>453</v>
      </c>
      <c r="C222" t="s">
        <v>359</v>
      </c>
      <c r="D222" t="s">
        <v>101</v>
      </c>
      <c r="E222">
        <v>98000</v>
      </c>
      <c r="F222">
        <v>3</v>
      </c>
      <c r="G222">
        <v>1</v>
      </c>
    </row>
    <row r="223" spans="1:7" x14ac:dyDescent="0.3">
      <c r="A223" t="s">
        <v>454</v>
      </c>
      <c r="B223" t="s">
        <v>455</v>
      </c>
      <c r="C223" t="s">
        <v>359</v>
      </c>
      <c r="D223" t="s">
        <v>101</v>
      </c>
      <c r="E223">
        <v>65900</v>
      </c>
      <c r="F223">
        <v>2</v>
      </c>
      <c r="G223">
        <v>1</v>
      </c>
    </row>
    <row r="224" spans="1:7" x14ac:dyDescent="0.3">
      <c r="A224" t="s">
        <v>456</v>
      </c>
      <c r="B224" t="s">
        <v>457</v>
      </c>
      <c r="C224" t="s">
        <v>359</v>
      </c>
      <c r="D224" t="s">
        <v>101</v>
      </c>
      <c r="E224">
        <v>180000</v>
      </c>
      <c r="F224">
        <v>6</v>
      </c>
      <c r="G224">
        <v>1</v>
      </c>
    </row>
    <row r="225" spans="1:7" x14ac:dyDescent="0.3">
      <c r="A225" t="s">
        <v>458</v>
      </c>
      <c r="B225" t="s">
        <v>459</v>
      </c>
      <c r="C225" t="s">
        <v>359</v>
      </c>
      <c r="D225" t="s">
        <v>101</v>
      </c>
      <c r="E225">
        <v>81900</v>
      </c>
      <c r="F225">
        <v>3</v>
      </c>
      <c r="G225">
        <v>1</v>
      </c>
    </row>
    <row r="226" spans="1:7" x14ac:dyDescent="0.3">
      <c r="A226" t="s">
        <v>460</v>
      </c>
      <c r="B226" t="s">
        <v>461</v>
      </c>
      <c r="C226" t="s">
        <v>359</v>
      </c>
      <c r="D226" t="s">
        <v>101</v>
      </c>
      <c r="E226">
        <v>59800</v>
      </c>
      <c r="F226">
        <v>2</v>
      </c>
      <c r="G226">
        <v>1</v>
      </c>
    </row>
    <row r="227" spans="1:7" x14ac:dyDescent="0.3">
      <c r="A227" t="s">
        <v>462</v>
      </c>
      <c r="B227" t="s">
        <v>463</v>
      </c>
      <c r="C227" t="s">
        <v>359</v>
      </c>
      <c r="D227" t="s">
        <v>101</v>
      </c>
      <c r="E227">
        <v>180000</v>
      </c>
      <c r="F227">
        <v>6</v>
      </c>
      <c r="G227">
        <v>1</v>
      </c>
    </row>
    <row r="228" spans="1:7" x14ac:dyDescent="0.3">
      <c r="A228" t="s">
        <v>464</v>
      </c>
      <c r="B228" t="s">
        <v>465</v>
      </c>
      <c r="C228" t="s">
        <v>359</v>
      </c>
      <c r="D228" t="s">
        <v>101</v>
      </c>
      <c r="E228">
        <v>180000</v>
      </c>
      <c r="F228">
        <v>6</v>
      </c>
      <c r="G228">
        <v>1</v>
      </c>
    </row>
    <row r="229" spans="1:7" x14ac:dyDescent="0.3">
      <c r="A229" t="s">
        <v>466</v>
      </c>
      <c r="B229" t="s">
        <v>467</v>
      </c>
      <c r="C229" t="s">
        <v>359</v>
      </c>
      <c r="D229" t="s">
        <v>101</v>
      </c>
      <c r="E229">
        <v>98000</v>
      </c>
      <c r="F229">
        <v>3</v>
      </c>
      <c r="G229">
        <v>1</v>
      </c>
    </row>
    <row r="230" spans="1:7" x14ac:dyDescent="0.3">
      <c r="A230" t="s">
        <v>468</v>
      </c>
      <c r="B230" t="s">
        <v>469</v>
      </c>
      <c r="C230" t="s">
        <v>359</v>
      </c>
      <c r="D230" t="s">
        <v>101</v>
      </c>
      <c r="E230">
        <v>65900</v>
      </c>
      <c r="F230">
        <v>2</v>
      </c>
      <c r="G230">
        <v>1</v>
      </c>
    </row>
    <row r="231" spans="1:7" x14ac:dyDescent="0.3">
      <c r="A231" t="s">
        <v>470</v>
      </c>
      <c r="B231" t="s">
        <v>471</v>
      </c>
      <c r="C231" t="s">
        <v>359</v>
      </c>
      <c r="D231" t="s">
        <v>101</v>
      </c>
      <c r="E231">
        <v>81900</v>
      </c>
      <c r="F231">
        <v>3</v>
      </c>
      <c r="G231">
        <v>1</v>
      </c>
    </row>
    <row r="232" spans="1:7" x14ac:dyDescent="0.3">
      <c r="A232" t="s">
        <v>472</v>
      </c>
      <c r="B232" t="s">
        <v>473</v>
      </c>
      <c r="C232" t="s">
        <v>359</v>
      </c>
      <c r="D232" t="s">
        <v>101</v>
      </c>
      <c r="E232">
        <v>65900</v>
      </c>
      <c r="F232">
        <v>2</v>
      </c>
      <c r="G232">
        <v>1</v>
      </c>
    </row>
    <row r="233" spans="1:7" x14ac:dyDescent="0.3">
      <c r="A233" t="s">
        <v>474</v>
      </c>
      <c r="B233" t="s">
        <v>475</v>
      </c>
      <c r="C233" t="s">
        <v>359</v>
      </c>
      <c r="D233" t="s">
        <v>101</v>
      </c>
      <c r="E233">
        <v>70000</v>
      </c>
      <c r="F233">
        <v>2</v>
      </c>
      <c r="G233">
        <v>1</v>
      </c>
    </row>
    <row r="234" spans="1:7" x14ac:dyDescent="0.3">
      <c r="A234" t="s">
        <v>476</v>
      </c>
      <c r="B234" t="s">
        <v>477</v>
      </c>
      <c r="C234" t="s">
        <v>478</v>
      </c>
      <c r="D234" t="s">
        <v>10</v>
      </c>
      <c r="E234">
        <v>5000</v>
      </c>
      <c r="F234">
        <v>1</v>
      </c>
      <c r="G234">
        <v>1</v>
      </c>
    </row>
    <row r="235" spans="1:7" x14ac:dyDescent="0.3">
      <c r="A235" t="s">
        <v>479</v>
      </c>
      <c r="B235" t="s">
        <v>480</v>
      </c>
      <c r="C235" t="s">
        <v>478</v>
      </c>
      <c r="D235" t="s">
        <v>10</v>
      </c>
      <c r="E235">
        <v>3000</v>
      </c>
      <c r="F235">
        <v>1</v>
      </c>
      <c r="G235">
        <v>1</v>
      </c>
    </row>
    <row r="236" spans="1:7" x14ac:dyDescent="0.3">
      <c r="A236" t="s">
        <v>481</v>
      </c>
      <c r="B236" t="s">
        <v>482</v>
      </c>
      <c r="C236" t="s">
        <v>478</v>
      </c>
      <c r="D236" t="s">
        <v>10</v>
      </c>
      <c r="E236">
        <v>7500</v>
      </c>
      <c r="F236">
        <v>1</v>
      </c>
      <c r="G236">
        <v>1</v>
      </c>
    </row>
    <row r="237" spans="1:7" x14ac:dyDescent="0.3">
      <c r="A237" t="s">
        <v>483</v>
      </c>
      <c r="B237" t="s">
        <v>484</v>
      </c>
      <c r="C237" t="s">
        <v>478</v>
      </c>
      <c r="D237" t="s">
        <v>10</v>
      </c>
      <c r="E237">
        <v>8000</v>
      </c>
      <c r="F237">
        <v>1</v>
      </c>
      <c r="G237">
        <v>1</v>
      </c>
    </row>
    <row r="238" spans="1:7" x14ac:dyDescent="0.3">
      <c r="A238" t="s">
        <v>485</v>
      </c>
      <c r="B238" t="s">
        <v>486</v>
      </c>
      <c r="C238" t="s">
        <v>478</v>
      </c>
      <c r="D238" t="s">
        <v>10</v>
      </c>
      <c r="E238">
        <v>1000</v>
      </c>
      <c r="F238">
        <v>1</v>
      </c>
      <c r="G238">
        <v>1</v>
      </c>
    </row>
    <row r="239" spans="1:7" x14ac:dyDescent="0.3">
      <c r="A239" t="s">
        <v>487</v>
      </c>
      <c r="B239" t="s">
        <v>488</v>
      </c>
      <c r="C239" t="s">
        <v>478</v>
      </c>
      <c r="D239" t="s">
        <v>10</v>
      </c>
      <c r="E239">
        <v>3000</v>
      </c>
      <c r="F239">
        <v>1</v>
      </c>
      <c r="G239">
        <v>1</v>
      </c>
    </row>
    <row r="240" spans="1:7" x14ac:dyDescent="0.3">
      <c r="A240" t="s">
        <v>489</v>
      </c>
      <c r="B240" t="s">
        <v>490</v>
      </c>
      <c r="C240" t="s">
        <v>478</v>
      </c>
      <c r="D240" t="s">
        <v>10</v>
      </c>
      <c r="E240">
        <v>17500</v>
      </c>
      <c r="F240">
        <v>1</v>
      </c>
      <c r="G240">
        <v>1</v>
      </c>
    </row>
    <row r="241" spans="1:7" x14ac:dyDescent="0.3">
      <c r="A241" t="s">
        <v>491</v>
      </c>
      <c r="B241" t="s">
        <v>492</v>
      </c>
      <c r="C241" t="s">
        <v>478</v>
      </c>
      <c r="D241" t="s">
        <v>10</v>
      </c>
      <c r="E241">
        <v>48000</v>
      </c>
      <c r="F241">
        <v>1</v>
      </c>
      <c r="G241">
        <v>1</v>
      </c>
    </row>
    <row r="242" spans="1:7" x14ac:dyDescent="0.3">
      <c r="A242" t="s">
        <v>493</v>
      </c>
      <c r="B242" t="s">
        <v>494</v>
      </c>
      <c r="C242" t="s">
        <v>478</v>
      </c>
      <c r="D242" t="s">
        <v>10</v>
      </c>
      <c r="E242">
        <v>44000</v>
      </c>
      <c r="F242">
        <v>1</v>
      </c>
      <c r="G242">
        <v>1</v>
      </c>
    </row>
    <row r="243" spans="1:7" x14ac:dyDescent="0.3">
      <c r="A243" t="s">
        <v>495</v>
      </c>
      <c r="B243" t="s">
        <v>496</v>
      </c>
      <c r="C243" t="s">
        <v>478</v>
      </c>
      <c r="D243" t="s">
        <v>10</v>
      </c>
      <c r="E243">
        <v>44000</v>
      </c>
      <c r="F243">
        <v>1</v>
      </c>
      <c r="G243">
        <v>1</v>
      </c>
    </row>
    <row r="244" spans="1:7" x14ac:dyDescent="0.3">
      <c r="A244" t="s">
        <v>497</v>
      </c>
      <c r="B244" t="s">
        <v>498</v>
      </c>
      <c r="C244" t="s">
        <v>478</v>
      </c>
      <c r="D244" t="s">
        <v>10</v>
      </c>
      <c r="E244">
        <v>44000</v>
      </c>
      <c r="F244">
        <v>1</v>
      </c>
      <c r="G244">
        <v>1</v>
      </c>
    </row>
    <row r="245" spans="1:7" x14ac:dyDescent="0.3">
      <c r="A245" t="s">
        <v>499</v>
      </c>
      <c r="B245" t="s">
        <v>500</v>
      </c>
      <c r="C245" t="s">
        <v>478</v>
      </c>
      <c r="D245" t="s">
        <v>10</v>
      </c>
      <c r="E245">
        <v>44000</v>
      </c>
      <c r="F245">
        <v>1</v>
      </c>
      <c r="G245">
        <v>1</v>
      </c>
    </row>
    <row r="246" spans="1:7" x14ac:dyDescent="0.3">
      <c r="A246" t="s">
        <v>501</v>
      </c>
      <c r="B246" t="s">
        <v>502</v>
      </c>
      <c r="C246" t="s">
        <v>478</v>
      </c>
      <c r="D246" t="s">
        <v>10</v>
      </c>
      <c r="E246">
        <v>11000</v>
      </c>
      <c r="F246">
        <v>1</v>
      </c>
      <c r="G246">
        <v>1</v>
      </c>
    </row>
    <row r="247" spans="1:7" x14ac:dyDescent="0.3">
      <c r="A247" t="s">
        <v>503</v>
      </c>
      <c r="B247" t="s">
        <v>504</v>
      </c>
      <c r="C247" t="s">
        <v>478</v>
      </c>
      <c r="D247" t="s">
        <v>10</v>
      </c>
      <c r="E247">
        <v>9900</v>
      </c>
      <c r="F247">
        <v>1</v>
      </c>
      <c r="G247">
        <v>1</v>
      </c>
    </row>
    <row r="248" spans="1:7" x14ac:dyDescent="0.3">
      <c r="A248" t="s">
        <v>505</v>
      </c>
      <c r="B248" t="s">
        <v>506</v>
      </c>
      <c r="C248" t="s">
        <v>507</v>
      </c>
      <c r="D248" t="s">
        <v>10</v>
      </c>
      <c r="E248">
        <v>3000</v>
      </c>
      <c r="F248">
        <v>1</v>
      </c>
      <c r="G248">
        <v>1</v>
      </c>
    </row>
    <row r="249" spans="1:7" x14ac:dyDescent="0.3">
      <c r="A249" t="s">
        <v>508</v>
      </c>
      <c r="B249" t="s">
        <v>509</v>
      </c>
      <c r="C249" t="s">
        <v>507</v>
      </c>
      <c r="D249" t="s">
        <v>10</v>
      </c>
      <c r="E249">
        <v>100</v>
      </c>
      <c r="F249">
        <v>1</v>
      </c>
      <c r="G249">
        <v>1</v>
      </c>
    </row>
    <row r="250" spans="1:7" x14ac:dyDescent="0.3">
      <c r="A250" t="s">
        <v>510</v>
      </c>
      <c r="B250" t="s">
        <v>511</v>
      </c>
      <c r="C250" t="s">
        <v>507</v>
      </c>
      <c r="D250" t="s">
        <v>101</v>
      </c>
      <c r="E250">
        <f>62000*2</f>
        <v>124000</v>
      </c>
      <c r="F250">
        <v>1</v>
      </c>
      <c r="G250">
        <v>1</v>
      </c>
    </row>
    <row r="251" spans="1:7" x14ac:dyDescent="0.3">
      <c r="A251" t="s">
        <v>512</v>
      </c>
      <c r="B251" t="s">
        <v>513</v>
      </c>
      <c r="C251" t="s">
        <v>507</v>
      </c>
      <c r="D251" t="s">
        <v>101</v>
      </c>
      <c r="E251">
        <f>97000+35000+50000+28000</f>
        <v>210000</v>
      </c>
      <c r="F251">
        <v>4</v>
      </c>
      <c r="G251">
        <v>1</v>
      </c>
    </row>
    <row r="252" spans="1:7" x14ac:dyDescent="0.3">
      <c r="A252" t="s">
        <v>514</v>
      </c>
      <c r="B252" t="s">
        <v>515</v>
      </c>
      <c r="C252" t="s">
        <v>507</v>
      </c>
      <c r="D252" t="s">
        <v>101</v>
      </c>
      <c r="E252">
        <v>97000</v>
      </c>
      <c r="F252">
        <v>1</v>
      </c>
      <c r="G252">
        <v>1</v>
      </c>
    </row>
    <row r="253" spans="1:7" x14ac:dyDescent="0.3">
      <c r="A253" t="s">
        <v>516</v>
      </c>
      <c r="B253" t="s">
        <v>517</v>
      </c>
      <c r="C253" t="s">
        <v>507</v>
      </c>
      <c r="D253" t="s">
        <v>101</v>
      </c>
      <c r="E253">
        <f>97000*2</f>
        <v>194000</v>
      </c>
      <c r="F253">
        <v>2</v>
      </c>
      <c r="G253">
        <v>2</v>
      </c>
    </row>
    <row r="254" spans="1:7" x14ac:dyDescent="0.3">
      <c r="A254" t="s">
        <v>518</v>
      </c>
      <c r="B254" t="s">
        <v>519</v>
      </c>
      <c r="C254" t="s">
        <v>507</v>
      </c>
      <c r="D254" t="s">
        <v>101</v>
      </c>
      <c r="E254">
        <v>85000</v>
      </c>
      <c r="F254">
        <v>1</v>
      </c>
      <c r="G254">
        <v>1</v>
      </c>
    </row>
    <row r="255" spans="1:7" x14ac:dyDescent="0.3">
      <c r="A255" t="s">
        <v>520</v>
      </c>
      <c r="B255" t="s">
        <v>521</v>
      </c>
      <c r="C255" t="s">
        <v>507</v>
      </c>
      <c r="D255" t="s">
        <v>101</v>
      </c>
      <c r="E255">
        <v>50000</v>
      </c>
      <c r="F255">
        <v>1</v>
      </c>
      <c r="G255">
        <v>1</v>
      </c>
    </row>
    <row r="256" spans="1:7" x14ac:dyDescent="0.3">
      <c r="A256" t="s">
        <v>522</v>
      </c>
      <c r="B256" t="s">
        <v>523</v>
      </c>
      <c r="C256" t="s">
        <v>507</v>
      </c>
      <c r="D256" t="s">
        <v>101</v>
      </c>
      <c r="E256">
        <f>38000+43000+54000+50000</f>
        <v>185000</v>
      </c>
      <c r="F256">
        <v>4</v>
      </c>
      <c r="G256">
        <v>1</v>
      </c>
    </row>
    <row r="257" spans="1:7" x14ac:dyDescent="0.3">
      <c r="A257" t="s">
        <v>524</v>
      </c>
      <c r="B257" t="s">
        <v>525</v>
      </c>
      <c r="C257" t="s">
        <v>507</v>
      </c>
      <c r="D257" t="s">
        <v>101</v>
      </c>
      <c r="E257">
        <v>14000</v>
      </c>
      <c r="F257">
        <v>2</v>
      </c>
      <c r="G257">
        <v>1</v>
      </c>
    </row>
    <row r="258" spans="1:7" x14ac:dyDescent="0.3">
      <c r="A258" t="s">
        <v>526</v>
      </c>
      <c r="B258" t="s">
        <v>527</v>
      </c>
      <c r="C258" t="s">
        <v>507</v>
      </c>
      <c r="D258" t="s">
        <v>101</v>
      </c>
      <c r="E258">
        <f>13000+27000</f>
        <v>40000</v>
      </c>
      <c r="F258">
        <v>4</v>
      </c>
      <c r="G258">
        <v>1</v>
      </c>
    </row>
    <row r="259" spans="1:7" x14ac:dyDescent="0.3">
      <c r="A259" t="s">
        <v>528</v>
      </c>
      <c r="B259" t="s">
        <v>529</v>
      </c>
      <c r="C259" t="s">
        <v>507</v>
      </c>
      <c r="D259" t="s">
        <v>101</v>
      </c>
      <c r="E259">
        <f>29000*2</f>
        <v>58000</v>
      </c>
      <c r="F259">
        <v>2</v>
      </c>
      <c r="G259">
        <v>1</v>
      </c>
    </row>
    <row r="260" spans="1:7" x14ac:dyDescent="0.3">
      <c r="A260" t="s">
        <v>530</v>
      </c>
      <c r="B260" t="s">
        <v>531</v>
      </c>
      <c r="C260" t="s">
        <v>507</v>
      </c>
      <c r="D260" t="s">
        <v>101</v>
      </c>
      <c r="E260">
        <f>43000+100000</f>
        <v>143000</v>
      </c>
      <c r="F260">
        <v>3</v>
      </c>
      <c r="G260">
        <v>1</v>
      </c>
    </row>
    <row r="261" spans="1:7" x14ac:dyDescent="0.3">
      <c r="A261" t="s">
        <v>532</v>
      </c>
      <c r="B261" t="s">
        <v>533</v>
      </c>
      <c r="C261" t="s">
        <v>507</v>
      </c>
      <c r="D261" t="s">
        <v>101</v>
      </c>
      <c r="E261">
        <f>43000+50000</f>
        <v>93000</v>
      </c>
      <c r="F261">
        <v>2</v>
      </c>
      <c r="G261">
        <v>1</v>
      </c>
    </row>
    <row r="262" spans="1:7" x14ac:dyDescent="0.3">
      <c r="A262" t="s">
        <v>534</v>
      </c>
      <c r="B262" t="s">
        <v>535</v>
      </c>
      <c r="C262" t="s">
        <v>507</v>
      </c>
      <c r="D262" t="s">
        <v>101</v>
      </c>
      <c r="E262">
        <f>43000+54000+50000</f>
        <v>147000</v>
      </c>
      <c r="F262">
        <v>3</v>
      </c>
      <c r="G262">
        <v>1</v>
      </c>
    </row>
    <row r="263" spans="1:7" x14ac:dyDescent="0.3">
      <c r="A263" t="s">
        <v>536</v>
      </c>
      <c r="B263" t="s">
        <v>537</v>
      </c>
      <c r="C263" t="s">
        <v>507</v>
      </c>
      <c r="D263" t="s">
        <v>101</v>
      </c>
      <c r="E263">
        <f>43000+54000+28000</f>
        <v>125000</v>
      </c>
      <c r="F263">
        <v>3</v>
      </c>
      <c r="G263">
        <v>1</v>
      </c>
    </row>
    <row r="264" spans="1:7" x14ac:dyDescent="0.3">
      <c r="A264" t="s">
        <v>538</v>
      </c>
      <c r="B264" t="s">
        <v>539</v>
      </c>
      <c r="C264" t="s">
        <v>507</v>
      </c>
      <c r="D264" t="s">
        <v>101</v>
      </c>
      <c r="E264">
        <f>43000+54000+70000</f>
        <v>167000</v>
      </c>
      <c r="F264">
        <v>4</v>
      </c>
      <c r="G264">
        <v>1</v>
      </c>
    </row>
    <row r="265" spans="1:7" x14ac:dyDescent="0.3">
      <c r="A265" t="s">
        <v>540</v>
      </c>
      <c r="B265" t="s">
        <v>541</v>
      </c>
      <c r="C265" t="s">
        <v>507</v>
      </c>
      <c r="D265" t="s">
        <v>101</v>
      </c>
      <c r="E265">
        <f>43000+54000+35000+50000</f>
        <v>182000</v>
      </c>
      <c r="F265">
        <v>4</v>
      </c>
      <c r="G265">
        <v>1</v>
      </c>
    </row>
    <row r="266" spans="1:7" x14ac:dyDescent="0.3">
      <c r="A266" t="s">
        <v>542</v>
      </c>
      <c r="B266" t="s">
        <v>543</v>
      </c>
      <c r="C266" t="s">
        <v>507</v>
      </c>
      <c r="D266" t="s">
        <v>101</v>
      </c>
      <c r="E266">
        <f>43000+54000+35000</f>
        <v>132000</v>
      </c>
      <c r="F266">
        <v>3</v>
      </c>
      <c r="G266">
        <v>1</v>
      </c>
    </row>
    <row r="267" spans="1:7" x14ac:dyDescent="0.3">
      <c r="A267" t="s">
        <v>544</v>
      </c>
      <c r="B267" t="s">
        <v>545</v>
      </c>
      <c r="C267" t="s">
        <v>507</v>
      </c>
      <c r="D267" t="s">
        <v>101</v>
      </c>
      <c r="E267">
        <f>43000+54000</f>
        <v>97000</v>
      </c>
      <c r="F267">
        <v>2</v>
      </c>
      <c r="G267">
        <v>1</v>
      </c>
    </row>
    <row r="268" spans="1:7" x14ac:dyDescent="0.3">
      <c r="A268" t="s">
        <v>546</v>
      </c>
      <c r="B268" t="s">
        <v>547</v>
      </c>
      <c r="C268" t="s">
        <v>507</v>
      </c>
      <c r="D268" t="s">
        <v>101</v>
      </c>
      <c r="E268">
        <f>29000+36000</f>
        <v>65000</v>
      </c>
      <c r="F268">
        <v>3</v>
      </c>
      <c r="G268">
        <v>1</v>
      </c>
    </row>
    <row r="269" spans="1:7" x14ac:dyDescent="0.3">
      <c r="A269" t="s">
        <v>548</v>
      </c>
      <c r="B269" t="s">
        <v>549</v>
      </c>
      <c r="C269" t="s">
        <v>507</v>
      </c>
      <c r="D269" t="s">
        <v>101</v>
      </c>
      <c r="E269">
        <f>43000+35000+32000+50000</f>
        <v>160000</v>
      </c>
      <c r="F269">
        <v>4</v>
      </c>
      <c r="G269">
        <v>1</v>
      </c>
    </row>
    <row r="270" spans="1:7" x14ac:dyDescent="0.3">
      <c r="A270" t="s">
        <v>550</v>
      </c>
      <c r="B270" t="s">
        <v>551</v>
      </c>
      <c r="C270" t="s">
        <v>507</v>
      </c>
      <c r="D270" t="s">
        <v>101</v>
      </c>
      <c r="E270">
        <f>43000+35000+32000</f>
        <v>110000</v>
      </c>
      <c r="F270">
        <v>3</v>
      </c>
      <c r="G270">
        <v>1</v>
      </c>
    </row>
    <row r="271" spans="1:7" x14ac:dyDescent="0.3">
      <c r="A271" t="s">
        <v>552</v>
      </c>
      <c r="B271" t="s">
        <v>553</v>
      </c>
      <c r="C271" t="s">
        <v>507</v>
      </c>
      <c r="D271" t="s">
        <v>10</v>
      </c>
      <c r="E271">
        <f>29000+36000+28000</f>
        <v>93000</v>
      </c>
      <c r="F271">
        <v>3</v>
      </c>
      <c r="G271">
        <v>3</v>
      </c>
    </row>
    <row r="272" spans="1:7" x14ac:dyDescent="0.3">
      <c r="A272" t="s">
        <v>554</v>
      </c>
      <c r="B272" t="s">
        <v>555</v>
      </c>
      <c r="C272" t="s">
        <v>507</v>
      </c>
      <c r="D272" t="s">
        <v>101</v>
      </c>
      <c r="E272">
        <f>29000*5</f>
        <v>145000</v>
      </c>
      <c r="F272">
        <v>5</v>
      </c>
      <c r="G272">
        <v>4</v>
      </c>
    </row>
    <row r="273" spans="1:7" x14ac:dyDescent="0.3">
      <c r="A273" t="s">
        <v>556</v>
      </c>
      <c r="B273" t="s">
        <v>557</v>
      </c>
      <c r="C273" t="s">
        <v>507</v>
      </c>
      <c r="D273" t="s">
        <v>101</v>
      </c>
      <c r="E273">
        <f>43000*5</f>
        <v>215000</v>
      </c>
      <c r="F273">
        <v>5</v>
      </c>
      <c r="G273">
        <v>1</v>
      </c>
    </row>
    <row r="274" spans="1:7" x14ac:dyDescent="0.3">
      <c r="A274" t="s">
        <v>558</v>
      </c>
      <c r="B274" t="s">
        <v>559</v>
      </c>
      <c r="C274" t="s">
        <v>507</v>
      </c>
      <c r="D274" t="s">
        <v>101</v>
      </c>
      <c r="E274">
        <f>43000*4</f>
        <v>172000</v>
      </c>
      <c r="F274">
        <v>4</v>
      </c>
      <c r="G274">
        <v>1</v>
      </c>
    </row>
    <row r="275" spans="1:7" x14ac:dyDescent="0.3">
      <c r="A275" t="s">
        <v>560</v>
      </c>
      <c r="B275" t="s">
        <v>561</v>
      </c>
      <c r="C275" t="s">
        <v>507</v>
      </c>
      <c r="D275" t="s">
        <v>101</v>
      </c>
      <c r="E275">
        <f>43000*3</f>
        <v>129000</v>
      </c>
      <c r="F275">
        <v>3</v>
      </c>
      <c r="G275">
        <v>1</v>
      </c>
    </row>
    <row r="276" spans="1:7" x14ac:dyDescent="0.3">
      <c r="A276" t="s">
        <v>562</v>
      </c>
      <c r="B276" t="s">
        <v>563</v>
      </c>
      <c r="C276" t="s">
        <v>507</v>
      </c>
      <c r="D276" t="s">
        <v>101</v>
      </c>
      <c r="E276">
        <f>43000*2</f>
        <v>86000</v>
      </c>
      <c r="F276">
        <v>2</v>
      </c>
      <c r="G276">
        <v>1</v>
      </c>
    </row>
    <row r="277" spans="1:7" x14ac:dyDescent="0.3">
      <c r="A277" t="s">
        <v>564</v>
      </c>
      <c r="B277" t="s">
        <v>565</v>
      </c>
      <c r="C277" t="s">
        <v>507</v>
      </c>
      <c r="D277" t="s">
        <v>101</v>
      </c>
      <c r="E277">
        <f>43000*2+54000*2</f>
        <v>194000</v>
      </c>
      <c r="F277">
        <v>4</v>
      </c>
      <c r="G277">
        <v>2</v>
      </c>
    </row>
    <row r="278" spans="1:7" x14ac:dyDescent="0.3">
      <c r="A278" t="s">
        <v>566</v>
      </c>
      <c r="B278" t="s">
        <v>567</v>
      </c>
      <c r="C278" t="s">
        <v>507</v>
      </c>
      <c r="D278" t="s">
        <v>101</v>
      </c>
      <c r="E278">
        <f>43000+70000+54000</f>
        <v>167000</v>
      </c>
      <c r="F278">
        <v>4</v>
      </c>
      <c r="G278">
        <v>1</v>
      </c>
    </row>
    <row r="279" spans="1:7" x14ac:dyDescent="0.3">
      <c r="A279" t="s">
        <v>568</v>
      </c>
      <c r="B279" t="s">
        <v>569</v>
      </c>
      <c r="C279" t="s">
        <v>507</v>
      </c>
      <c r="D279" t="s">
        <v>101</v>
      </c>
      <c r="E279">
        <f>43000+70000</f>
        <v>113000</v>
      </c>
      <c r="F279">
        <v>3</v>
      </c>
      <c r="G279">
        <v>1</v>
      </c>
    </row>
    <row r="280" spans="1:7" x14ac:dyDescent="0.3">
      <c r="A280" t="s">
        <v>570</v>
      </c>
      <c r="B280" t="s">
        <v>571</v>
      </c>
      <c r="C280" t="s">
        <v>507</v>
      </c>
      <c r="D280" t="s">
        <v>101</v>
      </c>
      <c r="E280">
        <f>43000+35000</f>
        <v>78000</v>
      </c>
      <c r="F280">
        <v>2</v>
      </c>
      <c r="G280">
        <v>1</v>
      </c>
    </row>
    <row r="281" spans="1:7" x14ac:dyDescent="0.3">
      <c r="A281" t="s">
        <v>572</v>
      </c>
      <c r="B281" t="s">
        <v>573</v>
      </c>
      <c r="C281" t="s">
        <v>507</v>
      </c>
      <c r="D281" t="s">
        <v>101</v>
      </c>
      <c r="E281">
        <f>43000+38000*2</f>
        <v>119000</v>
      </c>
      <c r="F281">
        <v>3</v>
      </c>
      <c r="G281">
        <v>1</v>
      </c>
    </row>
    <row r="282" spans="1:7" x14ac:dyDescent="0.3">
      <c r="A282" t="s">
        <v>574</v>
      </c>
      <c r="B282" t="s">
        <v>575</v>
      </c>
      <c r="C282" t="s">
        <v>507</v>
      </c>
      <c r="D282" t="s">
        <v>101</v>
      </c>
      <c r="E282">
        <f>43000+38000</f>
        <v>81000</v>
      </c>
      <c r="F282">
        <v>2</v>
      </c>
      <c r="G282">
        <v>1</v>
      </c>
    </row>
    <row r="283" spans="1:7" x14ac:dyDescent="0.3">
      <c r="A283" t="s">
        <v>576</v>
      </c>
      <c r="B283" t="s">
        <v>577</v>
      </c>
      <c r="C283" t="s">
        <v>507</v>
      </c>
      <c r="D283" t="s">
        <v>101</v>
      </c>
      <c r="E283">
        <f>28000*7</f>
        <v>196000</v>
      </c>
      <c r="F283">
        <v>7</v>
      </c>
      <c r="G283">
        <v>1</v>
      </c>
    </row>
    <row r="284" spans="1:7" x14ac:dyDescent="0.3">
      <c r="A284" t="s">
        <v>578</v>
      </c>
      <c r="B284" t="s">
        <v>579</v>
      </c>
      <c r="C284" t="s">
        <v>507</v>
      </c>
      <c r="D284" t="s">
        <v>101</v>
      </c>
      <c r="E284">
        <f>28000*5</f>
        <v>140000</v>
      </c>
      <c r="F284">
        <v>5</v>
      </c>
      <c r="G284">
        <v>1</v>
      </c>
    </row>
    <row r="285" spans="1:7" x14ac:dyDescent="0.3">
      <c r="A285" t="s">
        <v>580</v>
      </c>
      <c r="B285" t="s">
        <v>581</v>
      </c>
      <c r="C285" t="s">
        <v>507</v>
      </c>
      <c r="D285" t="s">
        <v>101</v>
      </c>
      <c r="E285">
        <f>28000*3</f>
        <v>84000</v>
      </c>
      <c r="F285">
        <v>3</v>
      </c>
      <c r="G285">
        <v>1</v>
      </c>
    </row>
    <row r="286" spans="1:7" x14ac:dyDescent="0.3">
      <c r="A286" t="s">
        <v>582</v>
      </c>
      <c r="B286" t="s">
        <v>583</v>
      </c>
      <c r="C286" t="s">
        <v>507</v>
      </c>
      <c r="D286" t="s">
        <v>101</v>
      </c>
      <c r="E286">
        <f>28000*2</f>
        <v>56000</v>
      </c>
      <c r="F286">
        <v>2</v>
      </c>
      <c r="G286">
        <v>1</v>
      </c>
    </row>
    <row r="287" spans="1:7" x14ac:dyDescent="0.3">
      <c r="A287" t="s">
        <v>584</v>
      </c>
      <c r="B287" t="s">
        <v>585</v>
      </c>
      <c r="C287" t="s">
        <v>507</v>
      </c>
      <c r="D287" t="s">
        <v>101</v>
      </c>
      <c r="E287">
        <f>28000*2+35000</f>
        <v>91000</v>
      </c>
      <c r="F287">
        <v>3</v>
      </c>
      <c r="G287">
        <v>1</v>
      </c>
    </row>
    <row r="288" spans="1:7" x14ac:dyDescent="0.3">
      <c r="A288" t="s">
        <v>586</v>
      </c>
      <c r="B288" t="s">
        <v>587</v>
      </c>
      <c r="C288" t="s">
        <v>507</v>
      </c>
      <c r="D288" t="s">
        <v>101</v>
      </c>
      <c r="E288">
        <f>28000*4+54000</f>
        <v>166000</v>
      </c>
      <c r="F288">
        <v>5</v>
      </c>
      <c r="G288">
        <v>1</v>
      </c>
    </row>
    <row r="289" spans="1:7" x14ac:dyDescent="0.3">
      <c r="A289" t="s">
        <v>588</v>
      </c>
      <c r="B289" t="s">
        <v>589</v>
      </c>
      <c r="C289" t="s">
        <v>507</v>
      </c>
      <c r="D289" t="s">
        <v>101</v>
      </c>
      <c r="E289">
        <f>28000*2+50000</f>
        <v>106000</v>
      </c>
      <c r="F289">
        <v>3</v>
      </c>
      <c r="G289">
        <v>2</v>
      </c>
    </row>
    <row r="290" spans="1:7" x14ac:dyDescent="0.3">
      <c r="A290" t="s">
        <v>590</v>
      </c>
      <c r="B290" t="s">
        <v>591</v>
      </c>
      <c r="C290" t="s">
        <v>507</v>
      </c>
      <c r="D290" t="s">
        <v>101</v>
      </c>
      <c r="E290">
        <f>28000+54000+43000+50000+35000</f>
        <v>210000</v>
      </c>
      <c r="F290">
        <v>5</v>
      </c>
      <c r="G290">
        <v>1</v>
      </c>
    </row>
    <row r="291" spans="1:7" x14ac:dyDescent="0.3">
      <c r="A291" t="s">
        <v>592</v>
      </c>
      <c r="B291" t="s">
        <v>593</v>
      </c>
      <c r="C291" t="s">
        <v>507</v>
      </c>
      <c r="D291" t="s">
        <v>101</v>
      </c>
      <c r="E291">
        <f>28000+54000+43000+35000</f>
        <v>160000</v>
      </c>
      <c r="F291">
        <v>4</v>
      </c>
      <c r="G291">
        <v>1</v>
      </c>
    </row>
    <row r="292" spans="1:7" x14ac:dyDescent="0.3">
      <c r="A292" t="s">
        <v>594</v>
      </c>
      <c r="B292" t="s">
        <v>595</v>
      </c>
      <c r="C292" t="s">
        <v>507</v>
      </c>
      <c r="D292" t="s">
        <v>101</v>
      </c>
      <c r="E292">
        <f>28000+43000</f>
        <v>71000</v>
      </c>
      <c r="F292">
        <v>2</v>
      </c>
      <c r="G292">
        <v>1</v>
      </c>
    </row>
    <row r="293" spans="1:7" x14ac:dyDescent="0.3">
      <c r="A293" t="s">
        <v>596</v>
      </c>
      <c r="B293" t="s">
        <v>597</v>
      </c>
      <c r="C293" t="s">
        <v>507</v>
      </c>
      <c r="D293" t="s">
        <v>101</v>
      </c>
      <c r="E293">
        <f>28000+35000</f>
        <v>63000</v>
      </c>
      <c r="F293">
        <v>2</v>
      </c>
      <c r="G293">
        <v>1</v>
      </c>
    </row>
    <row r="294" spans="1:7" x14ac:dyDescent="0.3">
      <c r="A294" t="s">
        <v>598</v>
      </c>
      <c r="B294" t="s">
        <v>599</v>
      </c>
      <c r="C294" t="s">
        <v>507</v>
      </c>
      <c r="D294" t="s">
        <v>101</v>
      </c>
      <c r="E294">
        <f>28000+50000</f>
        <v>78000</v>
      </c>
      <c r="F294">
        <v>2</v>
      </c>
      <c r="G294">
        <v>1</v>
      </c>
    </row>
    <row r="295" spans="1:7" x14ac:dyDescent="0.3">
      <c r="A295" t="s">
        <v>600</v>
      </c>
      <c r="B295" t="s">
        <v>601</v>
      </c>
      <c r="C295" t="s">
        <v>507</v>
      </c>
      <c r="D295" t="s">
        <v>101</v>
      </c>
      <c r="E295">
        <f>28000+35000*2</f>
        <v>98000</v>
      </c>
      <c r="F295">
        <v>3</v>
      </c>
      <c r="G295">
        <v>1</v>
      </c>
    </row>
    <row r="296" spans="1:7" x14ac:dyDescent="0.3">
      <c r="A296" t="s">
        <v>602</v>
      </c>
      <c r="B296" t="s">
        <v>603</v>
      </c>
      <c r="C296" t="s">
        <v>507</v>
      </c>
      <c r="D296" t="s">
        <v>101</v>
      </c>
      <c r="E296">
        <f>28000+35000</f>
        <v>63000</v>
      </c>
      <c r="F296">
        <v>2</v>
      </c>
      <c r="G296">
        <v>1</v>
      </c>
    </row>
    <row r="297" spans="1:7" x14ac:dyDescent="0.3">
      <c r="A297" t="s">
        <v>604</v>
      </c>
      <c r="B297" t="s">
        <v>605</v>
      </c>
      <c r="C297" t="s">
        <v>507</v>
      </c>
      <c r="D297" t="s">
        <v>101</v>
      </c>
      <c r="E297">
        <f>28000+54000</f>
        <v>82000</v>
      </c>
      <c r="F297">
        <v>2</v>
      </c>
      <c r="G297">
        <v>1</v>
      </c>
    </row>
    <row r="298" spans="1:7" x14ac:dyDescent="0.3">
      <c r="A298" t="s">
        <v>606</v>
      </c>
      <c r="B298" t="s">
        <v>607</v>
      </c>
      <c r="C298" t="s">
        <v>507</v>
      </c>
      <c r="D298" t="s">
        <v>101</v>
      </c>
      <c r="E298">
        <f>28000+32000</f>
        <v>60000</v>
      </c>
      <c r="F298">
        <v>2</v>
      </c>
      <c r="G298">
        <v>1</v>
      </c>
    </row>
    <row r="299" spans="1:7" x14ac:dyDescent="0.3">
      <c r="A299" t="s">
        <v>608</v>
      </c>
      <c r="B299" t="s">
        <v>609</v>
      </c>
      <c r="C299" t="s">
        <v>507</v>
      </c>
      <c r="D299" t="s">
        <v>101</v>
      </c>
      <c r="E299">
        <f>28000+36000</f>
        <v>64000</v>
      </c>
      <c r="F299">
        <v>2</v>
      </c>
      <c r="G299">
        <v>1</v>
      </c>
    </row>
    <row r="300" spans="1:7" x14ac:dyDescent="0.3">
      <c r="A300" t="s">
        <v>610</v>
      </c>
      <c r="B300" t="s">
        <v>611</v>
      </c>
      <c r="C300" t="s">
        <v>507</v>
      </c>
      <c r="D300" t="s">
        <v>101</v>
      </c>
      <c r="E300">
        <f>35000+54000</f>
        <v>89000</v>
      </c>
      <c r="F300">
        <v>2</v>
      </c>
      <c r="G300">
        <v>1</v>
      </c>
    </row>
    <row r="301" spans="1:7" x14ac:dyDescent="0.3">
      <c r="A301" t="s">
        <v>612</v>
      </c>
      <c r="B301" t="s">
        <v>613</v>
      </c>
      <c r="C301" t="s">
        <v>507</v>
      </c>
      <c r="D301" t="s">
        <v>101</v>
      </c>
      <c r="E301">
        <f>35000*4+54000</f>
        <v>194000</v>
      </c>
      <c r="F301">
        <v>5</v>
      </c>
      <c r="G301">
        <v>5</v>
      </c>
    </row>
    <row r="302" spans="1:7" x14ac:dyDescent="0.3">
      <c r="A302" t="s">
        <v>614</v>
      </c>
      <c r="B302" t="s">
        <v>615</v>
      </c>
      <c r="C302" t="s">
        <v>507</v>
      </c>
      <c r="D302" t="s">
        <v>101</v>
      </c>
      <c r="E302">
        <f>35000*2+54000*2</f>
        <v>178000</v>
      </c>
      <c r="F302">
        <v>4</v>
      </c>
      <c r="G302">
        <v>1</v>
      </c>
    </row>
    <row r="303" spans="1:7" x14ac:dyDescent="0.3">
      <c r="A303" t="s">
        <v>616</v>
      </c>
      <c r="B303" t="s">
        <v>617</v>
      </c>
      <c r="C303" t="s">
        <v>507</v>
      </c>
      <c r="D303" t="s">
        <v>101</v>
      </c>
      <c r="E303">
        <f>35000*2</f>
        <v>70000</v>
      </c>
      <c r="F303">
        <v>2</v>
      </c>
      <c r="G303">
        <v>1</v>
      </c>
    </row>
    <row r="304" spans="1:7" x14ac:dyDescent="0.3">
      <c r="A304" t="s">
        <v>618</v>
      </c>
      <c r="B304" t="s">
        <v>619</v>
      </c>
      <c r="C304" t="s">
        <v>507</v>
      </c>
      <c r="D304" t="s">
        <v>101</v>
      </c>
      <c r="E304">
        <f>35000+50000</f>
        <v>85000</v>
      </c>
      <c r="F304">
        <v>2</v>
      </c>
      <c r="G304">
        <v>1</v>
      </c>
    </row>
    <row r="305" spans="1:7" x14ac:dyDescent="0.3">
      <c r="A305" t="s">
        <v>620</v>
      </c>
      <c r="B305" t="s">
        <v>621</v>
      </c>
      <c r="C305" t="s">
        <v>507</v>
      </c>
      <c r="D305" t="s">
        <v>101</v>
      </c>
      <c r="E305">
        <f>35000+38000</f>
        <v>73000</v>
      </c>
      <c r="F305">
        <v>2</v>
      </c>
      <c r="G305">
        <v>1</v>
      </c>
    </row>
    <row r="306" spans="1:7" x14ac:dyDescent="0.3">
      <c r="A306" t="s">
        <v>622</v>
      </c>
      <c r="B306" t="s">
        <v>623</v>
      </c>
      <c r="C306" t="s">
        <v>507</v>
      </c>
      <c r="D306" t="s">
        <v>101</v>
      </c>
      <c r="E306">
        <v>21500</v>
      </c>
      <c r="F306">
        <v>1</v>
      </c>
      <c r="G306">
        <v>1</v>
      </c>
    </row>
    <row r="307" spans="1:7" x14ac:dyDescent="0.3">
      <c r="A307" t="s">
        <v>624</v>
      </c>
      <c r="B307" t="s">
        <v>625</v>
      </c>
      <c r="C307" t="s">
        <v>507</v>
      </c>
      <c r="D307" t="s">
        <v>101</v>
      </c>
      <c r="E307">
        <f>36000*5</f>
        <v>180000</v>
      </c>
      <c r="F307">
        <v>5</v>
      </c>
      <c r="G307">
        <v>1</v>
      </c>
    </row>
    <row r="308" spans="1:7" x14ac:dyDescent="0.3">
      <c r="A308" t="s">
        <v>626</v>
      </c>
      <c r="B308" t="s">
        <v>627</v>
      </c>
      <c r="C308" t="s">
        <v>507</v>
      </c>
      <c r="D308" t="s">
        <v>101</v>
      </c>
      <c r="E308">
        <f>54000+50000</f>
        <v>104000</v>
      </c>
      <c r="F308">
        <v>2</v>
      </c>
      <c r="G308">
        <v>1</v>
      </c>
    </row>
    <row r="309" spans="1:7" x14ac:dyDescent="0.3">
      <c r="A309" t="s">
        <v>628</v>
      </c>
      <c r="B309" t="s">
        <v>629</v>
      </c>
      <c r="C309" t="s">
        <v>507</v>
      </c>
      <c r="D309" t="s">
        <v>101</v>
      </c>
      <c r="E309">
        <f>54000*3</f>
        <v>162000</v>
      </c>
      <c r="F309">
        <v>3</v>
      </c>
      <c r="G309">
        <v>1</v>
      </c>
    </row>
    <row r="310" spans="1:7" x14ac:dyDescent="0.3">
      <c r="A310" t="s">
        <v>630</v>
      </c>
      <c r="B310" t="s">
        <v>631</v>
      </c>
      <c r="C310" t="s">
        <v>507</v>
      </c>
      <c r="D310" t="s">
        <v>101</v>
      </c>
      <c r="E310">
        <f>54000*2</f>
        <v>108000</v>
      </c>
      <c r="F310">
        <v>2</v>
      </c>
      <c r="G310">
        <v>1</v>
      </c>
    </row>
    <row r="311" spans="1:7" x14ac:dyDescent="0.3">
      <c r="A311" t="s">
        <v>632</v>
      </c>
      <c r="B311" t="s">
        <v>633</v>
      </c>
      <c r="C311" t="s">
        <v>507</v>
      </c>
      <c r="D311" t="s">
        <v>101</v>
      </c>
      <c r="E311">
        <f>54000+32000</f>
        <v>86000</v>
      </c>
      <c r="F311">
        <v>2</v>
      </c>
      <c r="G311">
        <v>1</v>
      </c>
    </row>
    <row r="312" spans="1:7" x14ac:dyDescent="0.3">
      <c r="A312" t="s">
        <v>634</v>
      </c>
      <c r="B312" t="s">
        <v>635</v>
      </c>
      <c r="C312" t="s">
        <v>507</v>
      </c>
      <c r="D312" t="s">
        <v>101</v>
      </c>
      <c r="E312">
        <f>32000+54000+35000+50000</f>
        <v>171000</v>
      </c>
      <c r="F312">
        <v>4</v>
      </c>
      <c r="G312">
        <v>1</v>
      </c>
    </row>
    <row r="313" spans="1:7" x14ac:dyDescent="0.3">
      <c r="A313" t="s">
        <v>636</v>
      </c>
      <c r="B313" t="s">
        <v>637</v>
      </c>
      <c r="C313" t="s">
        <v>507</v>
      </c>
      <c r="D313" t="s">
        <v>101</v>
      </c>
      <c r="E313">
        <f>36000*2</f>
        <v>72000</v>
      </c>
      <c r="F313">
        <v>2</v>
      </c>
      <c r="G313">
        <v>1</v>
      </c>
    </row>
    <row r="314" spans="1:7" x14ac:dyDescent="0.3">
      <c r="A314" t="s">
        <v>638</v>
      </c>
      <c r="B314" t="s">
        <v>639</v>
      </c>
      <c r="C314" t="s">
        <v>507</v>
      </c>
      <c r="D314" t="s">
        <v>101</v>
      </c>
      <c r="E314">
        <f>32000*4+35000</f>
        <v>163000</v>
      </c>
      <c r="F314">
        <v>5</v>
      </c>
      <c r="G314">
        <v>1</v>
      </c>
    </row>
    <row r="315" spans="1:7" x14ac:dyDescent="0.3">
      <c r="A315" t="s">
        <v>640</v>
      </c>
      <c r="B315" t="s">
        <v>641</v>
      </c>
      <c r="C315" t="s">
        <v>507</v>
      </c>
      <c r="D315" t="s">
        <v>101</v>
      </c>
      <c r="E315">
        <f>32000*3</f>
        <v>96000</v>
      </c>
      <c r="F315">
        <v>3</v>
      </c>
      <c r="G315">
        <v>1</v>
      </c>
    </row>
    <row r="316" spans="1:7" x14ac:dyDescent="0.3">
      <c r="A316" t="s">
        <v>642</v>
      </c>
      <c r="B316" t="s">
        <v>643</v>
      </c>
      <c r="C316" t="s">
        <v>507</v>
      </c>
      <c r="D316" t="s">
        <v>101</v>
      </c>
      <c r="E316">
        <f>32000*2</f>
        <v>64000</v>
      </c>
      <c r="F316">
        <v>2</v>
      </c>
      <c r="G316">
        <v>1</v>
      </c>
    </row>
    <row r="317" spans="1:7" x14ac:dyDescent="0.3">
      <c r="A317" t="s">
        <v>644</v>
      </c>
      <c r="B317" t="s">
        <v>645</v>
      </c>
      <c r="C317" t="s">
        <v>507</v>
      </c>
      <c r="D317" t="s">
        <v>101</v>
      </c>
      <c r="E317">
        <f>32000+50000</f>
        <v>82000</v>
      </c>
      <c r="F317">
        <v>2</v>
      </c>
      <c r="G317">
        <v>1</v>
      </c>
    </row>
    <row r="318" spans="1:7" x14ac:dyDescent="0.3">
      <c r="A318" t="s">
        <v>646</v>
      </c>
      <c r="B318" t="s">
        <v>647</v>
      </c>
      <c r="C318" t="s">
        <v>507</v>
      </c>
      <c r="D318" t="s">
        <v>101</v>
      </c>
      <c r="E318">
        <f>32000+38000</f>
        <v>70000</v>
      </c>
      <c r="F318">
        <v>2</v>
      </c>
      <c r="G318">
        <v>1</v>
      </c>
    </row>
    <row r="319" spans="1:7" x14ac:dyDescent="0.3">
      <c r="A319" t="s">
        <v>648</v>
      </c>
      <c r="B319" t="s">
        <v>649</v>
      </c>
      <c r="C319" t="s">
        <v>507</v>
      </c>
      <c r="D319" t="s">
        <v>101</v>
      </c>
      <c r="E319">
        <f>32000+35000</f>
        <v>67000</v>
      </c>
      <c r="F319">
        <v>2</v>
      </c>
      <c r="G319">
        <v>1</v>
      </c>
    </row>
    <row r="320" spans="1:7" x14ac:dyDescent="0.3">
      <c r="A320" t="s">
        <v>650</v>
      </c>
      <c r="B320" t="s">
        <v>651</v>
      </c>
      <c r="C320" t="s">
        <v>507</v>
      </c>
      <c r="D320" t="s">
        <v>101</v>
      </c>
      <c r="E320">
        <f>38000*5</f>
        <v>190000</v>
      </c>
      <c r="F320">
        <v>5</v>
      </c>
      <c r="G320">
        <v>1</v>
      </c>
    </row>
    <row r="321" spans="1:7" x14ac:dyDescent="0.3">
      <c r="A321" t="s">
        <v>652</v>
      </c>
      <c r="B321" t="s">
        <v>653</v>
      </c>
      <c r="C321" t="s">
        <v>507</v>
      </c>
      <c r="D321" t="s">
        <v>101</v>
      </c>
      <c r="E321">
        <f>38000*3</f>
        <v>114000</v>
      </c>
      <c r="F321">
        <v>3</v>
      </c>
      <c r="G321">
        <v>1</v>
      </c>
    </row>
    <row r="322" spans="1:7" x14ac:dyDescent="0.3">
      <c r="A322" t="s">
        <v>654</v>
      </c>
      <c r="B322" t="s">
        <v>655</v>
      </c>
      <c r="C322" t="s">
        <v>507</v>
      </c>
      <c r="D322" t="s">
        <v>101</v>
      </c>
      <c r="E322">
        <f>38000*2</f>
        <v>76000</v>
      </c>
      <c r="F322">
        <v>2</v>
      </c>
      <c r="G322">
        <v>1</v>
      </c>
    </row>
    <row r="323" spans="1:7" x14ac:dyDescent="0.3">
      <c r="A323" t="s">
        <v>656</v>
      </c>
      <c r="B323" t="s">
        <v>657</v>
      </c>
      <c r="C323" t="s">
        <v>507</v>
      </c>
      <c r="D323" t="s">
        <v>101</v>
      </c>
      <c r="E323">
        <f>38000+50000</f>
        <v>88000</v>
      </c>
      <c r="F323">
        <v>2</v>
      </c>
      <c r="G323">
        <v>1</v>
      </c>
    </row>
    <row r="324" spans="1:7" x14ac:dyDescent="0.3">
      <c r="A324" t="s">
        <v>658</v>
      </c>
      <c r="B324" t="s">
        <v>659</v>
      </c>
      <c r="C324" t="s">
        <v>507</v>
      </c>
      <c r="D324" t="s">
        <v>101</v>
      </c>
      <c r="E324">
        <f>38000+35000*2</f>
        <v>108000</v>
      </c>
      <c r="F324">
        <v>3</v>
      </c>
      <c r="G324">
        <v>1</v>
      </c>
    </row>
    <row r="325" spans="1:7" x14ac:dyDescent="0.3">
      <c r="A325" t="s">
        <v>660</v>
      </c>
      <c r="B325" t="s">
        <v>661</v>
      </c>
      <c r="C325" t="s">
        <v>507</v>
      </c>
      <c r="D325" t="s">
        <v>101</v>
      </c>
      <c r="E325">
        <f>38000+28000</f>
        <v>66000</v>
      </c>
      <c r="F325">
        <v>2</v>
      </c>
      <c r="G325">
        <v>1</v>
      </c>
    </row>
    <row r="326" spans="1:7" x14ac:dyDescent="0.3">
      <c r="A326" t="s">
        <v>662</v>
      </c>
      <c r="B326" t="s">
        <v>663</v>
      </c>
      <c r="C326" t="s">
        <v>507</v>
      </c>
      <c r="D326" t="s">
        <v>101</v>
      </c>
      <c r="E326">
        <f>38000+35000+28000</f>
        <v>101000</v>
      </c>
      <c r="F326">
        <v>3</v>
      </c>
      <c r="G326">
        <v>1</v>
      </c>
    </row>
    <row r="327" spans="1:7" x14ac:dyDescent="0.3">
      <c r="A327" t="s">
        <v>664</v>
      </c>
      <c r="B327" t="s">
        <v>665</v>
      </c>
      <c r="C327" t="s">
        <v>507</v>
      </c>
      <c r="D327" t="s">
        <v>101</v>
      </c>
      <c r="E327">
        <f>38000+54000</f>
        <v>92000</v>
      </c>
      <c r="F327">
        <v>2</v>
      </c>
      <c r="G327">
        <v>1</v>
      </c>
    </row>
    <row r="328" spans="1:7" x14ac:dyDescent="0.3">
      <c r="A328" t="s">
        <v>666</v>
      </c>
      <c r="B328" t="s">
        <v>667</v>
      </c>
      <c r="C328" t="s">
        <v>507</v>
      </c>
      <c r="D328" t="s">
        <v>10</v>
      </c>
      <c r="E328">
        <v>38000</v>
      </c>
      <c r="F328">
        <v>1</v>
      </c>
      <c r="G328">
        <v>1</v>
      </c>
    </row>
    <row r="329" spans="1:7" x14ac:dyDescent="0.3">
      <c r="A329" t="s">
        <v>668</v>
      </c>
      <c r="B329" t="s">
        <v>669</v>
      </c>
      <c r="C329" t="s">
        <v>507</v>
      </c>
      <c r="D329" t="s">
        <v>101</v>
      </c>
      <c r="E329">
        <f>35000*2</f>
        <v>70000</v>
      </c>
      <c r="F329">
        <v>2</v>
      </c>
      <c r="G329">
        <v>1</v>
      </c>
    </row>
    <row r="330" spans="1:7" x14ac:dyDescent="0.3">
      <c r="A330" t="s">
        <v>670</v>
      </c>
      <c r="B330" t="s">
        <v>671</v>
      </c>
      <c r="C330" t="s">
        <v>507</v>
      </c>
      <c r="D330" t="s">
        <v>101</v>
      </c>
      <c r="E330">
        <f>50000*3+32000</f>
        <v>182000</v>
      </c>
      <c r="F330">
        <v>4</v>
      </c>
      <c r="G330">
        <v>1</v>
      </c>
    </row>
    <row r="331" spans="1:7" x14ac:dyDescent="0.3">
      <c r="A331" t="s">
        <v>672</v>
      </c>
      <c r="B331" t="s">
        <v>673</v>
      </c>
      <c r="C331" t="s">
        <v>507</v>
      </c>
      <c r="D331" t="s">
        <v>101</v>
      </c>
      <c r="E331">
        <f>50000*4</f>
        <v>200000</v>
      </c>
      <c r="F331">
        <v>4</v>
      </c>
      <c r="G331">
        <v>1</v>
      </c>
    </row>
    <row r="332" spans="1:7" x14ac:dyDescent="0.3">
      <c r="A332" t="s">
        <v>674</v>
      </c>
      <c r="B332" t="s">
        <v>675</v>
      </c>
      <c r="C332" t="s">
        <v>507</v>
      </c>
      <c r="D332" t="s">
        <v>101</v>
      </c>
      <c r="E332">
        <f>50000*2</f>
        <v>100000</v>
      </c>
      <c r="F332">
        <v>2</v>
      </c>
      <c r="G332">
        <v>1</v>
      </c>
    </row>
    <row r="333" spans="1:7" x14ac:dyDescent="0.3">
      <c r="A333" t="s">
        <v>676</v>
      </c>
      <c r="B333" t="s">
        <v>677</v>
      </c>
      <c r="C333" t="s">
        <v>507</v>
      </c>
      <c r="D333" t="s">
        <v>101</v>
      </c>
      <c r="E333">
        <f>62000+29000+36000+28000</f>
        <v>155000</v>
      </c>
      <c r="F333">
        <v>4</v>
      </c>
      <c r="G333">
        <v>1</v>
      </c>
    </row>
    <row r="334" spans="1:7" x14ac:dyDescent="0.3">
      <c r="A334" t="s">
        <v>678</v>
      </c>
      <c r="B334" t="s">
        <v>679</v>
      </c>
      <c r="C334" t="s">
        <v>507</v>
      </c>
      <c r="D334" t="s">
        <v>101</v>
      </c>
      <c r="E334">
        <f>36000+62000</f>
        <v>98000</v>
      </c>
      <c r="F334">
        <v>2</v>
      </c>
      <c r="G334">
        <v>1</v>
      </c>
    </row>
    <row r="335" spans="1:7" x14ac:dyDescent="0.3">
      <c r="A335" t="s">
        <v>680</v>
      </c>
      <c r="B335" t="s">
        <v>681</v>
      </c>
      <c r="C335" t="s">
        <v>507</v>
      </c>
      <c r="D335" t="s">
        <v>101</v>
      </c>
      <c r="E335">
        <f>28000*2</f>
        <v>56000</v>
      </c>
      <c r="F335">
        <v>2</v>
      </c>
      <c r="G335">
        <v>1</v>
      </c>
    </row>
    <row r="336" spans="1:7" x14ac:dyDescent="0.3">
      <c r="A336" t="s">
        <v>682</v>
      </c>
      <c r="B336" t="s">
        <v>683</v>
      </c>
      <c r="C336" t="s">
        <v>507</v>
      </c>
      <c r="D336" t="s">
        <v>10</v>
      </c>
      <c r="E336">
        <v>35000</v>
      </c>
      <c r="F336">
        <v>1</v>
      </c>
      <c r="G336">
        <v>1</v>
      </c>
    </row>
    <row r="337" spans="1:7" x14ac:dyDescent="0.3">
      <c r="A337" t="s">
        <v>684</v>
      </c>
      <c r="B337" t="s">
        <v>685</v>
      </c>
      <c r="C337" t="s">
        <v>507</v>
      </c>
      <c r="D337" t="s">
        <v>10</v>
      </c>
      <c r="E337">
        <v>50000</v>
      </c>
      <c r="F337">
        <v>1</v>
      </c>
      <c r="G337">
        <v>1</v>
      </c>
    </row>
    <row r="338" spans="1:7" x14ac:dyDescent="0.3">
      <c r="A338" t="s">
        <v>686</v>
      </c>
      <c r="B338" t="s">
        <v>687</v>
      </c>
      <c r="C338" t="s">
        <v>507</v>
      </c>
      <c r="D338" t="s">
        <v>10</v>
      </c>
      <c r="E338">
        <v>62000</v>
      </c>
      <c r="F338">
        <v>1</v>
      </c>
      <c r="G338">
        <v>1</v>
      </c>
    </row>
    <row r="339" spans="1:7" x14ac:dyDescent="0.3">
      <c r="A339" t="s">
        <v>688</v>
      </c>
      <c r="B339" t="s">
        <v>689</v>
      </c>
      <c r="C339" t="s">
        <v>507</v>
      </c>
      <c r="D339" t="s">
        <v>10</v>
      </c>
      <c r="E339">
        <v>32000</v>
      </c>
      <c r="F339">
        <v>1</v>
      </c>
      <c r="G339">
        <v>1</v>
      </c>
    </row>
    <row r="340" spans="1:7" x14ac:dyDescent="0.3">
      <c r="A340" t="s">
        <v>690</v>
      </c>
      <c r="B340" t="s">
        <v>691</v>
      </c>
      <c r="C340" t="s">
        <v>507</v>
      </c>
      <c r="D340" t="s">
        <v>10</v>
      </c>
      <c r="E340">
        <v>25000</v>
      </c>
      <c r="F340">
        <v>1</v>
      </c>
      <c r="G340">
        <v>1</v>
      </c>
    </row>
    <row r="341" spans="1:7" x14ac:dyDescent="0.3">
      <c r="A341" t="s">
        <v>692</v>
      </c>
      <c r="B341" t="s">
        <v>693</v>
      </c>
      <c r="C341" t="s">
        <v>507</v>
      </c>
      <c r="D341" t="s">
        <v>101</v>
      </c>
      <c r="E341">
        <v>9000</v>
      </c>
      <c r="F341">
        <v>1</v>
      </c>
      <c r="G341">
        <v>1</v>
      </c>
    </row>
    <row r="342" spans="1:7" x14ac:dyDescent="0.3">
      <c r="A342" t="s">
        <v>694</v>
      </c>
      <c r="B342" t="s">
        <v>695</v>
      </c>
      <c r="C342" t="s">
        <v>507</v>
      </c>
      <c r="D342" t="s">
        <v>10</v>
      </c>
      <c r="E342">
        <v>38000</v>
      </c>
      <c r="F342">
        <v>1</v>
      </c>
      <c r="G342">
        <v>1</v>
      </c>
    </row>
    <row r="343" spans="1:7" x14ac:dyDescent="0.3">
      <c r="A343" t="s">
        <v>696</v>
      </c>
      <c r="B343" t="s">
        <v>697</v>
      </c>
      <c r="C343" t="s">
        <v>507</v>
      </c>
      <c r="D343" t="s">
        <v>10</v>
      </c>
      <c r="E343">
        <v>35000</v>
      </c>
      <c r="F343">
        <v>1</v>
      </c>
      <c r="G343">
        <v>1</v>
      </c>
    </row>
    <row r="344" spans="1:7" x14ac:dyDescent="0.3">
      <c r="A344" t="s">
        <v>698</v>
      </c>
      <c r="B344" t="s">
        <v>699</v>
      </c>
      <c r="C344" t="s">
        <v>507</v>
      </c>
      <c r="D344" t="s">
        <v>10</v>
      </c>
      <c r="E344">
        <v>28000</v>
      </c>
      <c r="F344">
        <v>1</v>
      </c>
      <c r="G344">
        <v>1</v>
      </c>
    </row>
    <row r="345" spans="1:7" x14ac:dyDescent="0.3">
      <c r="A345" t="s">
        <v>700</v>
      </c>
      <c r="B345" t="s">
        <v>701</v>
      </c>
      <c r="C345" t="s">
        <v>507</v>
      </c>
      <c r="D345" t="s">
        <v>101</v>
      </c>
      <c r="E345">
        <v>13000</v>
      </c>
      <c r="F345">
        <v>1</v>
      </c>
      <c r="G345">
        <v>1</v>
      </c>
    </row>
    <row r="346" spans="1:7" x14ac:dyDescent="0.3">
      <c r="A346" t="s">
        <v>702</v>
      </c>
      <c r="B346" t="s">
        <v>703</v>
      </c>
      <c r="C346" t="s">
        <v>507</v>
      </c>
      <c r="D346" t="s">
        <v>10</v>
      </c>
      <c r="E346">
        <v>43000</v>
      </c>
      <c r="F346">
        <v>1</v>
      </c>
      <c r="G346">
        <v>1</v>
      </c>
    </row>
    <row r="347" spans="1:7" x14ac:dyDescent="0.3">
      <c r="A347" t="s">
        <v>704</v>
      </c>
      <c r="B347" t="s">
        <v>705</v>
      </c>
      <c r="C347" t="s">
        <v>507</v>
      </c>
      <c r="D347" t="s">
        <v>10</v>
      </c>
      <c r="E347">
        <v>29000</v>
      </c>
      <c r="F347">
        <v>1</v>
      </c>
      <c r="G347">
        <v>1</v>
      </c>
    </row>
    <row r="348" spans="1:7" x14ac:dyDescent="0.3">
      <c r="A348" t="s">
        <v>706</v>
      </c>
      <c r="B348" t="s">
        <v>707</v>
      </c>
      <c r="C348" t="s">
        <v>507</v>
      </c>
      <c r="D348" t="s">
        <v>10</v>
      </c>
      <c r="E348">
        <v>28000</v>
      </c>
      <c r="F348">
        <v>1</v>
      </c>
      <c r="G348">
        <v>1</v>
      </c>
    </row>
    <row r="349" spans="1:7" x14ac:dyDescent="0.3">
      <c r="A349" t="s">
        <v>708</v>
      </c>
      <c r="B349" t="s">
        <v>709</v>
      </c>
      <c r="C349" t="s">
        <v>507</v>
      </c>
      <c r="D349" t="s">
        <v>10</v>
      </c>
      <c r="E349">
        <v>54000</v>
      </c>
      <c r="F349">
        <v>1</v>
      </c>
      <c r="G349">
        <v>1</v>
      </c>
    </row>
    <row r="350" spans="1:7" x14ac:dyDescent="0.3">
      <c r="A350" t="s">
        <v>710</v>
      </c>
      <c r="B350" t="s">
        <v>711</v>
      </c>
      <c r="C350" t="s">
        <v>507</v>
      </c>
      <c r="D350" t="s">
        <v>10</v>
      </c>
      <c r="E350">
        <v>32000</v>
      </c>
      <c r="F350">
        <v>1</v>
      </c>
      <c r="G350">
        <v>1</v>
      </c>
    </row>
    <row r="351" spans="1:7" x14ac:dyDescent="0.3">
      <c r="A351" t="s">
        <v>712</v>
      </c>
      <c r="B351" t="s">
        <v>713</v>
      </c>
      <c r="C351" t="s">
        <v>507</v>
      </c>
      <c r="D351" t="s">
        <v>10</v>
      </c>
      <c r="E351">
        <v>36000</v>
      </c>
      <c r="F351">
        <v>1</v>
      </c>
      <c r="G351">
        <v>1</v>
      </c>
    </row>
    <row r="352" spans="1:7" x14ac:dyDescent="0.3">
      <c r="A352" t="s">
        <v>714</v>
      </c>
      <c r="B352" t="s">
        <v>715</v>
      </c>
      <c r="C352" t="s">
        <v>507</v>
      </c>
      <c r="D352" t="s">
        <v>10</v>
      </c>
      <c r="E352">
        <v>38000</v>
      </c>
      <c r="F352">
        <v>1</v>
      </c>
      <c r="G352">
        <v>1</v>
      </c>
    </row>
    <row r="353" spans="1:7" x14ac:dyDescent="0.3">
      <c r="A353" t="s">
        <v>716</v>
      </c>
      <c r="B353" t="s">
        <v>717</v>
      </c>
      <c r="C353" t="s">
        <v>507</v>
      </c>
      <c r="D353" t="s">
        <v>101</v>
      </c>
      <c r="E353">
        <v>12000</v>
      </c>
      <c r="F353">
        <v>1</v>
      </c>
      <c r="G353">
        <v>1</v>
      </c>
    </row>
  </sheetData>
  <autoFilter ref="A1:L353" xr:uid="{00000000-0009-0000-0000-000000000000}"/>
  <phoneticPr fontId="2" type="noConversion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81"/>
  <sheetViews>
    <sheetView tabSelected="1" workbookViewId="0">
      <pane ySplit="1" topLeftCell="A125" activePane="bottomLeft" state="frozen"/>
      <selection pane="bottomLeft" activeCell="B135" sqref="B135"/>
    </sheetView>
  </sheetViews>
  <sheetFormatPr defaultRowHeight="16.5" x14ac:dyDescent="0.3"/>
  <cols>
    <col min="1" max="1" width="22" customWidth="1"/>
    <col min="2" max="2" width="61.5" customWidth="1"/>
    <col min="3" max="3" width="10" customWidth="1"/>
    <col min="4" max="4" width="17" customWidth="1"/>
    <col min="5" max="5" width="42" customWidth="1"/>
    <col min="6" max="7" width="12" customWidth="1"/>
    <col min="8" max="8" width="21" customWidth="1"/>
    <col min="9" max="9" width="10" customWidth="1"/>
    <col min="10" max="10" width="29" customWidth="1"/>
  </cols>
  <sheetData>
    <row r="1" spans="1:10" x14ac:dyDescent="0.3">
      <c r="A1" s="1" t="s">
        <v>718</v>
      </c>
      <c r="B1" s="1" t="s">
        <v>719</v>
      </c>
      <c r="C1" s="1" t="s">
        <v>2</v>
      </c>
      <c r="D1" s="1" t="s">
        <v>720</v>
      </c>
      <c r="E1" s="1" t="s">
        <v>721</v>
      </c>
      <c r="F1" s="1" t="s">
        <v>722</v>
      </c>
      <c r="G1" s="1" t="s">
        <v>723</v>
      </c>
      <c r="H1" s="1" t="s">
        <v>724</v>
      </c>
      <c r="I1" s="1" t="s">
        <v>725</v>
      </c>
      <c r="J1" s="1" t="s">
        <v>726</v>
      </c>
    </row>
    <row r="2" spans="1:10" x14ac:dyDescent="0.3">
      <c r="A2" t="s">
        <v>99</v>
      </c>
      <c r="B2" t="s">
        <v>100</v>
      </c>
      <c r="C2" t="s">
        <v>9</v>
      </c>
      <c r="D2" t="s">
        <v>341</v>
      </c>
      <c r="E2" t="s">
        <v>727</v>
      </c>
      <c r="F2">
        <v>2</v>
      </c>
      <c r="G2">
        <v>1</v>
      </c>
      <c r="H2">
        <v>1</v>
      </c>
      <c r="I2" t="s">
        <v>728</v>
      </c>
      <c r="J2" t="s">
        <v>729</v>
      </c>
    </row>
    <row r="3" spans="1:10" x14ac:dyDescent="0.3">
      <c r="A3" t="s">
        <v>102</v>
      </c>
      <c r="B3" t="s">
        <v>833</v>
      </c>
      <c r="C3" t="s">
        <v>9</v>
      </c>
      <c r="D3" s="5" t="s">
        <v>834</v>
      </c>
      <c r="E3" s="5" t="s">
        <v>835</v>
      </c>
      <c r="F3">
        <v>1</v>
      </c>
      <c r="G3">
        <v>0.5</v>
      </c>
      <c r="H3">
        <v>0.5</v>
      </c>
      <c r="I3" t="s">
        <v>728</v>
      </c>
      <c r="J3" t="s">
        <v>730</v>
      </c>
    </row>
    <row r="4" spans="1:10" x14ac:dyDescent="0.3">
      <c r="A4" t="s">
        <v>102</v>
      </c>
      <c r="B4" t="s">
        <v>833</v>
      </c>
      <c r="C4" t="s">
        <v>9</v>
      </c>
      <c r="D4" s="5" t="s">
        <v>836</v>
      </c>
      <c r="E4" s="5" t="s">
        <v>837</v>
      </c>
      <c r="F4">
        <v>1</v>
      </c>
      <c r="G4">
        <v>0.5</v>
      </c>
      <c r="H4">
        <v>0.5</v>
      </c>
      <c r="I4" t="s">
        <v>728</v>
      </c>
      <c r="J4" t="s">
        <v>730</v>
      </c>
    </row>
    <row r="5" spans="1:10" x14ac:dyDescent="0.3">
      <c r="A5" t="s">
        <v>106</v>
      </c>
      <c r="B5" t="s">
        <v>107</v>
      </c>
      <c r="C5" t="s">
        <v>9</v>
      </c>
      <c r="D5" t="s">
        <v>11</v>
      </c>
      <c r="E5" t="s">
        <v>731</v>
      </c>
      <c r="F5">
        <v>3</v>
      </c>
      <c r="G5">
        <v>1</v>
      </c>
      <c r="H5">
        <v>1</v>
      </c>
      <c r="I5" t="s">
        <v>732</v>
      </c>
      <c r="J5" t="s">
        <v>733</v>
      </c>
    </row>
    <row r="6" spans="1:10" x14ac:dyDescent="0.3">
      <c r="A6" t="s">
        <v>108</v>
      </c>
      <c r="B6" t="s">
        <v>109</v>
      </c>
      <c r="C6" t="s">
        <v>9</v>
      </c>
      <c r="D6" t="s">
        <v>11</v>
      </c>
      <c r="E6" t="s">
        <v>12</v>
      </c>
      <c r="F6">
        <v>2</v>
      </c>
      <c r="G6">
        <v>1</v>
      </c>
      <c r="H6">
        <v>1</v>
      </c>
      <c r="I6" t="s">
        <v>734</v>
      </c>
      <c r="J6" t="s">
        <v>735</v>
      </c>
    </row>
    <row r="7" spans="1:10" x14ac:dyDescent="0.3">
      <c r="A7" t="s">
        <v>110</v>
      </c>
      <c r="B7" t="s">
        <v>111</v>
      </c>
      <c r="C7" t="s">
        <v>9</v>
      </c>
      <c r="D7" t="s">
        <v>13</v>
      </c>
      <c r="E7" t="s">
        <v>14</v>
      </c>
      <c r="F7">
        <v>2</v>
      </c>
      <c r="G7">
        <v>1</v>
      </c>
      <c r="H7">
        <v>1</v>
      </c>
      <c r="I7" t="s">
        <v>734</v>
      </c>
      <c r="J7" t="s">
        <v>735</v>
      </c>
    </row>
    <row r="8" spans="1:10" x14ac:dyDescent="0.3">
      <c r="A8" t="s">
        <v>112</v>
      </c>
      <c r="B8" t="s">
        <v>113</v>
      </c>
      <c r="C8" t="s">
        <v>9</v>
      </c>
      <c r="D8" t="s">
        <v>15</v>
      </c>
      <c r="E8" t="s">
        <v>736</v>
      </c>
      <c r="F8">
        <v>3</v>
      </c>
      <c r="G8">
        <v>1</v>
      </c>
      <c r="H8">
        <v>1</v>
      </c>
      <c r="I8" t="s">
        <v>732</v>
      </c>
      <c r="J8" t="s">
        <v>733</v>
      </c>
    </row>
    <row r="9" spans="1:10" x14ac:dyDescent="0.3">
      <c r="A9" t="s">
        <v>114</v>
      </c>
      <c r="B9" t="s">
        <v>115</v>
      </c>
      <c r="C9" t="s">
        <v>9</v>
      </c>
      <c r="D9" t="s">
        <v>15</v>
      </c>
      <c r="E9" t="s">
        <v>16</v>
      </c>
      <c r="F9">
        <v>2</v>
      </c>
      <c r="G9">
        <v>1</v>
      </c>
      <c r="H9">
        <v>1</v>
      </c>
      <c r="I9" t="s">
        <v>734</v>
      </c>
      <c r="J9" t="s">
        <v>735</v>
      </c>
    </row>
    <row r="10" spans="1:10" x14ac:dyDescent="0.3">
      <c r="A10" t="s">
        <v>116</v>
      </c>
      <c r="B10" t="s">
        <v>117</v>
      </c>
      <c r="C10" t="s">
        <v>9</v>
      </c>
      <c r="D10" t="s">
        <v>17</v>
      </c>
      <c r="E10" t="s">
        <v>18</v>
      </c>
      <c r="F10">
        <v>2</v>
      </c>
      <c r="G10">
        <v>1</v>
      </c>
      <c r="H10">
        <v>1</v>
      </c>
      <c r="I10" t="s">
        <v>734</v>
      </c>
      <c r="J10" t="s">
        <v>735</v>
      </c>
    </row>
    <row r="11" spans="1:10" x14ac:dyDescent="0.3">
      <c r="A11" t="s">
        <v>118</v>
      </c>
      <c r="B11" t="s">
        <v>119</v>
      </c>
      <c r="C11" t="s">
        <v>9</v>
      </c>
      <c r="D11" s="5" t="s">
        <v>838</v>
      </c>
      <c r="E11" s="5" t="s">
        <v>22</v>
      </c>
      <c r="F11">
        <v>2</v>
      </c>
      <c r="G11">
        <v>1</v>
      </c>
      <c r="H11">
        <v>1</v>
      </c>
      <c r="I11" t="s">
        <v>728</v>
      </c>
      <c r="J11" t="s">
        <v>729</v>
      </c>
    </row>
    <row r="12" spans="1:10" x14ac:dyDescent="0.3">
      <c r="A12" t="s">
        <v>120</v>
      </c>
      <c r="B12" t="s">
        <v>121</v>
      </c>
      <c r="C12" t="s">
        <v>9</v>
      </c>
      <c r="D12" s="5" t="s">
        <v>839</v>
      </c>
      <c r="E12" s="5" t="s">
        <v>840</v>
      </c>
      <c r="F12">
        <v>1</v>
      </c>
      <c r="G12">
        <v>0.5</v>
      </c>
      <c r="H12">
        <v>0.5</v>
      </c>
      <c r="I12" t="s">
        <v>728</v>
      </c>
      <c r="J12" t="s">
        <v>729</v>
      </c>
    </row>
    <row r="13" spans="1:10" x14ac:dyDescent="0.3">
      <c r="A13" t="s">
        <v>120</v>
      </c>
      <c r="B13" t="s">
        <v>121</v>
      </c>
      <c r="C13" t="s">
        <v>9</v>
      </c>
      <c r="D13" s="5" t="s">
        <v>838</v>
      </c>
      <c r="E13" s="5" t="s">
        <v>22</v>
      </c>
      <c r="F13">
        <v>1</v>
      </c>
      <c r="G13">
        <v>0.5</v>
      </c>
      <c r="H13">
        <v>0.5</v>
      </c>
      <c r="I13" t="s">
        <v>728</v>
      </c>
      <c r="J13" t="s">
        <v>729</v>
      </c>
    </row>
    <row r="14" spans="1:10" x14ac:dyDescent="0.3">
      <c r="A14" t="s">
        <v>122</v>
      </c>
      <c r="B14" t="s">
        <v>123</v>
      </c>
      <c r="C14" t="s">
        <v>9</v>
      </c>
      <c r="D14" t="s">
        <v>23</v>
      </c>
      <c r="E14" t="s">
        <v>24</v>
      </c>
      <c r="F14">
        <v>2</v>
      </c>
      <c r="G14">
        <v>1</v>
      </c>
      <c r="H14">
        <v>1</v>
      </c>
      <c r="I14" t="s">
        <v>732</v>
      </c>
      <c r="J14" t="s">
        <v>733</v>
      </c>
    </row>
    <row r="15" spans="1:10" x14ac:dyDescent="0.3">
      <c r="A15" t="s">
        <v>124</v>
      </c>
      <c r="B15" t="s">
        <v>125</v>
      </c>
      <c r="C15" t="s">
        <v>9</v>
      </c>
      <c r="D15" t="s">
        <v>345</v>
      </c>
      <c r="E15" t="s">
        <v>346</v>
      </c>
      <c r="F15">
        <v>1</v>
      </c>
      <c r="G15">
        <v>0.5</v>
      </c>
      <c r="H15">
        <v>0.5</v>
      </c>
      <c r="I15" t="s">
        <v>732</v>
      </c>
      <c r="J15" t="s">
        <v>737</v>
      </c>
    </row>
    <row r="16" spans="1:10" x14ac:dyDescent="0.3">
      <c r="A16" t="s">
        <v>124</v>
      </c>
      <c r="B16" t="s">
        <v>125</v>
      </c>
      <c r="C16" t="s">
        <v>9</v>
      </c>
      <c r="D16" t="s">
        <v>39</v>
      </c>
      <c r="E16" t="s">
        <v>40</v>
      </c>
      <c r="F16">
        <v>1</v>
      </c>
      <c r="G16">
        <v>0.5</v>
      </c>
      <c r="H16">
        <v>0.5</v>
      </c>
      <c r="I16" t="s">
        <v>732</v>
      </c>
      <c r="J16" t="s">
        <v>737</v>
      </c>
    </row>
    <row r="17" spans="1:10" x14ac:dyDescent="0.3">
      <c r="A17" t="s">
        <v>126</v>
      </c>
      <c r="B17" t="s">
        <v>127</v>
      </c>
      <c r="C17" t="s">
        <v>9</v>
      </c>
      <c r="D17" t="s">
        <v>39</v>
      </c>
      <c r="E17" t="s">
        <v>40</v>
      </c>
      <c r="F17">
        <v>2</v>
      </c>
      <c r="G17">
        <v>1</v>
      </c>
      <c r="H17">
        <v>1</v>
      </c>
      <c r="I17" t="s">
        <v>732</v>
      </c>
      <c r="J17" t="s">
        <v>733</v>
      </c>
    </row>
    <row r="18" spans="1:10" x14ac:dyDescent="0.3">
      <c r="A18" t="s">
        <v>128</v>
      </c>
      <c r="B18" t="s">
        <v>129</v>
      </c>
      <c r="C18" t="s">
        <v>9</v>
      </c>
      <c r="D18" t="s">
        <v>81</v>
      </c>
      <c r="E18" t="s">
        <v>82</v>
      </c>
      <c r="F18">
        <v>1</v>
      </c>
      <c r="G18">
        <v>0.5</v>
      </c>
      <c r="H18">
        <v>0.5</v>
      </c>
      <c r="I18" t="s">
        <v>732</v>
      </c>
      <c r="J18" t="s">
        <v>738</v>
      </c>
    </row>
    <row r="19" spans="1:10" x14ac:dyDescent="0.3">
      <c r="A19" t="s">
        <v>128</v>
      </c>
      <c r="B19" t="s">
        <v>129</v>
      </c>
      <c r="C19" t="s">
        <v>9</v>
      </c>
      <c r="D19" t="s">
        <v>69</v>
      </c>
      <c r="E19" t="s">
        <v>70</v>
      </c>
      <c r="F19">
        <v>1</v>
      </c>
      <c r="G19">
        <v>0.5</v>
      </c>
      <c r="H19">
        <v>0.5</v>
      </c>
      <c r="I19" t="s">
        <v>732</v>
      </c>
      <c r="J19" t="s">
        <v>738</v>
      </c>
    </row>
    <row r="20" spans="1:10" x14ac:dyDescent="0.3">
      <c r="A20" t="s">
        <v>130</v>
      </c>
      <c r="B20" t="s">
        <v>131</v>
      </c>
      <c r="C20" t="s">
        <v>9</v>
      </c>
      <c r="D20" t="s">
        <v>81</v>
      </c>
      <c r="E20" t="s">
        <v>82</v>
      </c>
      <c r="F20">
        <v>1</v>
      </c>
      <c r="G20">
        <v>0.5</v>
      </c>
      <c r="H20">
        <v>0.5</v>
      </c>
      <c r="I20" t="s">
        <v>732</v>
      </c>
      <c r="J20" t="s">
        <v>738</v>
      </c>
    </row>
    <row r="21" spans="1:10" x14ac:dyDescent="0.3">
      <c r="A21" t="s">
        <v>130</v>
      </c>
      <c r="B21" t="s">
        <v>131</v>
      </c>
      <c r="C21" t="s">
        <v>9</v>
      </c>
      <c r="D21" t="s">
        <v>77</v>
      </c>
      <c r="E21" t="s">
        <v>78</v>
      </c>
      <c r="F21">
        <v>1</v>
      </c>
      <c r="G21">
        <v>0.5</v>
      </c>
      <c r="H21">
        <v>0.5</v>
      </c>
      <c r="I21" t="s">
        <v>732</v>
      </c>
      <c r="J21" t="s">
        <v>738</v>
      </c>
    </row>
    <row r="22" spans="1:10" x14ac:dyDescent="0.3">
      <c r="A22" t="s">
        <v>132</v>
      </c>
      <c r="B22" t="s">
        <v>133</v>
      </c>
      <c r="C22" t="s">
        <v>9</v>
      </c>
      <c r="D22" t="s">
        <v>81</v>
      </c>
      <c r="E22" t="s">
        <v>82</v>
      </c>
      <c r="F22">
        <v>2</v>
      </c>
      <c r="G22">
        <v>1</v>
      </c>
      <c r="H22">
        <v>1</v>
      </c>
      <c r="I22" t="s">
        <v>732</v>
      </c>
      <c r="J22" t="s">
        <v>733</v>
      </c>
    </row>
    <row r="23" spans="1:10" x14ac:dyDescent="0.3">
      <c r="A23" t="s">
        <v>134</v>
      </c>
      <c r="B23" t="s">
        <v>135</v>
      </c>
      <c r="C23" t="s">
        <v>9</v>
      </c>
      <c r="D23" t="s">
        <v>41</v>
      </c>
      <c r="E23" t="s">
        <v>42</v>
      </c>
      <c r="F23">
        <v>2</v>
      </c>
      <c r="G23">
        <v>2</v>
      </c>
      <c r="H23">
        <v>1</v>
      </c>
      <c r="I23" t="s">
        <v>732</v>
      </c>
      <c r="J23" t="s">
        <v>738</v>
      </c>
    </row>
    <row r="24" spans="1:10" x14ac:dyDescent="0.3">
      <c r="A24" t="s">
        <v>134</v>
      </c>
      <c r="B24" t="s">
        <v>135</v>
      </c>
      <c r="C24" t="s">
        <v>9</v>
      </c>
      <c r="D24" t="s">
        <v>481</v>
      </c>
      <c r="E24" t="s">
        <v>482</v>
      </c>
      <c r="F24">
        <v>1</v>
      </c>
      <c r="G24">
        <v>0</v>
      </c>
      <c r="H24">
        <v>0</v>
      </c>
      <c r="I24" t="s">
        <v>732</v>
      </c>
      <c r="J24" t="s">
        <v>738</v>
      </c>
    </row>
    <row r="25" spans="1:10" x14ac:dyDescent="0.3">
      <c r="A25" t="s">
        <v>136</v>
      </c>
      <c r="B25" t="s">
        <v>137</v>
      </c>
      <c r="C25" t="s">
        <v>9</v>
      </c>
      <c r="D25" t="s">
        <v>41</v>
      </c>
      <c r="E25" t="s">
        <v>42</v>
      </c>
      <c r="F25">
        <v>2</v>
      </c>
      <c r="G25">
        <v>2</v>
      </c>
      <c r="H25">
        <v>0.7</v>
      </c>
      <c r="I25" t="s">
        <v>732</v>
      </c>
      <c r="J25" t="s">
        <v>739</v>
      </c>
    </row>
    <row r="26" spans="1:10" x14ac:dyDescent="0.3">
      <c r="A26" t="s">
        <v>136</v>
      </c>
      <c r="B26" t="s">
        <v>137</v>
      </c>
      <c r="C26" t="s">
        <v>9</v>
      </c>
      <c r="D26" t="s">
        <v>43</v>
      </c>
      <c r="E26" t="s">
        <v>44</v>
      </c>
      <c r="F26">
        <v>1</v>
      </c>
      <c r="G26">
        <v>1</v>
      </c>
      <c r="H26">
        <v>0.3</v>
      </c>
      <c r="I26" t="s">
        <v>732</v>
      </c>
      <c r="J26" t="s">
        <v>739</v>
      </c>
    </row>
    <row r="27" spans="1:10" x14ac:dyDescent="0.3">
      <c r="A27" t="s">
        <v>136</v>
      </c>
      <c r="B27" t="s">
        <v>137</v>
      </c>
      <c r="C27" t="s">
        <v>9</v>
      </c>
      <c r="D27" t="s">
        <v>481</v>
      </c>
      <c r="E27" t="s">
        <v>482</v>
      </c>
      <c r="F27">
        <v>1</v>
      </c>
      <c r="G27">
        <v>0</v>
      </c>
      <c r="H27">
        <v>0</v>
      </c>
      <c r="I27" t="s">
        <v>732</v>
      </c>
      <c r="J27" t="s">
        <v>739</v>
      </c>
    </row>
    <row r="28" spans="1:10" x14ac:dyDescent="0.3">
      <c r="A28" t="s">
        <v>138</v>
      </c>
      <c r="B28" t="s">
        <v>139</v>
      </c>
      <c r="C28" t="s">
        <v>9</v>
      </c>
      <c r="D28" t="s">
        <v>41</v>
      </c>
      <c r="E28" t="s">
        <v>42</v>
      </c>
      <c r="F28">
        <v>3</v>
      </c>
      <c r="G28">
        <v>2</v>
      </c>
      <c r="H28">
        <v>1</v>
      </c>
      <c r="I28" t="s">
        <v>732</v>
      </c>
      <c r="J28" t="s">
        <v>739</v>
      </c>
    </row>
    <row r="29" spans="1:10" x14ac:dyDescent="0.3">
      <c r="A29" t="s">
        <v>138</v>
      </c>
      <c r="B29" t="s">
        <v>139</v>
      </c>
      <c r="C29" t="s">
        <v>9</v>
      </c>
      <c r="D29" t="s">
        <v>481</v>
      </c>
      <c r="E29" t="s">
        <v>482</v>
      </c>
      <c r="F29">
        <v>2</v>
      </c>
      <c r="G29">
        <v>0</v>
      </c>
      <c r="H29">
        <v>0</v>
      </c>
      <c r="I29" t="s">
        <v>732</v>
      </c>
      <c r="J29" t="s">
        <v>739</v>
      </c>
    </row>
    <row r="30" spans="1:10" x14ac:dyDescent="0.3">
      <c r="A30" t="s">
        <v>140</v>
      </c>
      <c r="B30" t="s">
        <v>141</v>
      </c>
      <c r="C30" t="s">
        <v>9</v>
      </c>
      <c r="D30" t="s">
        <v>41</v>
      </c>
      <c r="E30" t="s">
        <v>42</v>
      </c>
      <c r="F30">
        <v>3</v>
      </c>
      <c r="G30">
        <v>2</v>
      </c>
      <c r="H30">
        <v>1</v>
      </c>
      <c r="I30" t="s">
        <v>732</v>
      </c>
      <c r="J30" t="s">
        <v>739</v>
      </c>
    </row>
    <row r="31" spans="1:10" x14ac:dyDescent="0.3">
      <c r="A31" t="s">
        <v>140</v>
      </c>
      <c r="B31" t="s">
        <v>141</v>
      </c>
      <c r="C31" t="s">
        <v>9</v>
      </c>
      <c r="D31" t="s">
        <v>481</v>
      </c>
      <c r="E31" t="s">
        <v>482</v>
      </c>
      <c r="F31">
        <v>1</v>
      </c>
      <c r="G31">
        <v>1</v>
      </c>
      <c r="H31">
        <v>0</v>
      </c>
      <c r="I31" t="s">
        <v>732</v>
      </c>
      <c r="J31" t="s">
        <v>739</v>
      </c>
    </row>
    <row r="32" spans="1:10" x14ac:dyDescent="0.3">
      <c r="A32" t="s">
        <v>142</v>
      </c>
      <c r="B32" t="s">
        <v>143</v>
      </c>
      <c r="C32" t="s">
        <v>9</v>
      </c>
      <c r="D32" t="s">
        <v>41</v>
      </c>
      <c r="E32" t="s">
        <v>42</v>
      </c>
      <c r="F32">
        <v>3</v>
      </c>
      <c r="G32">
        <v>2</v>
      </c>
      <c r="H32">
        <v>1</v>
      </c>
      <c r="I32" t="s">
        <v>732</v>
      </c>
      <c r="J32" t="s">
        <v>733</v>
      </c>
    </row>
    <row r="33" spans="1:10" x14ac:dyDescent="0.3">
      <c r="A33" t="s">
        <v>144</v>
      </c>
      <c r="B33" t="s">
        <v>145</v>
      </c>
      <c r="C33" t="s">
        <v>9</v>
      </c>
      <c r="D33" t="s">
        <v>41</v>
      </c>
      <c r="E33" t="s">
        <v>42</v>
      </c>
      <c r="F33">
        <v>2</v>
      </c>
      <c r="G33">
        <v>2</v>
      </c>
      <c r="H33">
        <v>0.7</v>
      </c>
      <c r="I33" t="s">
        <v>732</v>
      </c>
      <c r="J33" t="s">
        <v>738</v>
      </c>
    </row>
    <row r="34" spans="1:10" x14ac:dyDescent="0.3">
      <c r="A34" t="s">
        <v>144</v>
      </c>
      <c r="B34" t="s">
        <v>145</v>
      </c>
      <c r="C34" t="s">
        <v>9</v>
      </c>
      <c r="D34" t="s">
        <v>43</v>
      </c>
      <c r="E34" t="s">
        <v>44</v>
      </c>
      <c r="F34">
        <v>1</v>
      </c>
      <c r="G34">
        <v>1</v>
      </c>
      <c r="H34">
        <v>0.3</v>
      </c>
      <c r="I34" t="s">
        <v>732</v>
      </c>
      <c r="J34" t="s">
        <v>738</v>
      </c>
    </row>
    <row r="35" spans="1:10" x14ac:dyDescent="0.3">
      <c r="A35" t="s">
        <v>144</v>
      </c>
      <c r="B35" t="s">
        <v>145</v>
      </c>
      <c r="C35" t="s">
        <v>9</v>
      </c>
      <c r="D35" t="s">
        <v>481</v>
      </c>
      <c r="E35" t="s">
        <v>482</v>
      </c>
      <c r="F35">
        <v>2</v>
      </c>
      <c r="G35">
        <v>0</v>
      </c>
      <c r="H35">
        <v>0</v>
      </c>
      <c r="I35" t="s">
        <v>732</v>
      </c>
      <c r="J35" t="s">
        <v>738</v>
      </c>
    </row>
    <row r="36" spans="1:10" x14ac:dyDescent="0.3">
      <c r="A36" t="s">
        <v>146</v>
      </c>
      <c r="B36" t="s">
        <v>147</v>
      </c>
      <c r="C36" t="s">
        <v>9</v>
      </c>
      <c r="D36" t="s">
        <v>41</v>
      </c>
      <c r="E36" t="s">
        <v>42</v>
      </c>
      <c r="F36">
        <v>2</v>
      </c>
      <c r="G36">
        <v>2</v>
      </c>
      <c r="H36">
        <v>0.7</v>
      </c>
      <c r="I36" t="s">
        <v>732</v>
      </c>
      <c r="J36" t="s">
        <v>739</v>
      </c>
    </row>
    <row r="37" spans="1:10" x14ac:dyDescent="0.3">
      <c r="A37" t="s">
        <v>146</v>
      </c>
      <c r="B37" t="s">
        <v>147</v>
      </c>
      <c r="C37" t="s">
        <v>9</v>
      </c>
      <c r="D37" t="s">
        <v>43</v>
      </c>
      <c r="E37" t="s">
        <v>44</v>
      </c>
      <c r="F37">
        <v>1</v>
      </c>
      <c r="G37">
        <v>1</v>
      </c>
      <c r="H37">
        <v>0.3</v>
      </c>
      <c r="I37" t="s">
        <v>732</v>
      </c>
      <c r="J37" t="s">
        <v>739</v>
      </c>
    </row>
    <row r="38" spans="1:10" x14ac:dyDescent="0.3">
      <c r="A38" t="s">
        <v>148</v>
      </c>
      <c r="B38" t="s">
        <v>149</v>
      </c>
      <c r="C38" t="s">
        <v>9</v>
      </c>
      <c r="D38" t="s">
        <v>43</v>
      </c>
      <c r="E38" t="s">
        <v>44</v>
      </c>
      <c r="F38">
        <v>2</v>
      </c>
      <c r="G38">
        <v>2</v>
      </c>
      <c r="H38">
        <v>1</v>
      </c>
      <c r="I38" t="s">
        <v>732</v>
      </c>
      <c r="J38" t="s">
        <v>739</v>
      </c>
    </row>
    <row r="39" spans="1:10" x14ac:dyDescent="0.3">
      <c r="A39" t="s">
        <v>148</v>
      </c>
      <c r="B39" t="s">
        <v>149</v>
      </c>
      <c r="C39" t="s">
        <v>9</v>
      </c>
      <c r="D39" t="s">
        <v>481</v>
      </c>
      <c r="E39" t="s">
        <v>482</v>
      </c>
      <c r="F39">
        <v>1</v>
      </c>
      <c r="G39">
        <v>0</v>
      </c>
      <c r="H39">
        <v>0</v>
      </c>
      <c r="I39" t="s">
        <v>732</v>
      </c>
      <c r="J39" t="s">
        <v>739</v>
      </c>
    </row>
    <row r="40" spans="1:10" x14ac:dyDescent="0.3">
      <c r="A40" t="s">
        <v>150</v>
      </c>
      <c r="B40" t="s">
        <v>151</v>
      </c>
      <c r="C40" t="s">
        <v>9</v>
      </c>
      <c r="D40" t="s">
        <v>43</v>
      </c>
      <c r="E40" t="s">
        <v>44</v>
      </c>
      <c r="F40">
        <v>1</v>
      </c>
      <c r="G40">
        <v>1</v>
      </c>
      <c r="H40">
        <v>0.5</v>
      </c>
      <c r="I40" t="s">
        <v>732</v>
      </c>
      <c r="J40" t="s">
        <v>739</v>
      </c>
    </row>
    <row r="41" spans="1:10" x14ac:dyDescent="0.3">
      <c r="A41" t="s">
        <v>150</v>
      </c>
      <c r="B41" t="s">
        <v>151</v>
      </c>
      <c r="C41" t="s">
        <v>9</v>
      </c>
      <c r="D41" t="s">
        <v>41</v>
      </c>
      <c r="E41" t="s">
        <v>42</v>
      </c>
      <c r="F41">
        <v>1</v>
      </c>
      <c r="G41">
        <v>1</v>
      </c>
      <c r="H41">
        <v>0.5</v>
      </c>
      <c r="I41" t="s">
        <v>732</v>
      </c>
      <c r="J41" t="s">
        <v>739</v>
      </c>
    </row>
    <row r="42" spans="1:10" x14ac:dyDescent="0.3">
      <c r="A42" t="s">
        <v>150</v>
      </c>
      <c r="B42" t="s">
        <v>151</v>
      </c>
      <c r="C42" t="s">
        <v>9</v>
      </c>
      <c r="D42" t="s">
        <v>481</v>
      </c>
      <c r="E42" t="s">
        <v>482</v>
      </c>
      <c r="F42">
        <v>1</v>
      </c>
      <c r="G42">
        <v>0</v>
      </c>
      <c r="H42">
        <v>0</v>
      </c>
      <c r="I42" t="s">
        <v>732</v>
      </c>
      <c r="J42" t="s">
        <v>739</v>
      </c>
    </row>
    <row r="43" spans="1:10" x14ac:dyDescent="0.3">
      <c r="A43" t="s">
        <v>152</v>
      </c>
      <c r="B43" t="s">
        <v>153</v>
      </c>
      <c r="C43" t="s">
        <v>9</v>
      </c>
      <c r="D43" t="s">
        <v>43</v>
      </c>
      <c r="E43" t="s">
        <v>44</v>
      </c>
      <c r="F43">
        <v>2</v>
      </c>
      <c r="G43">
        <v>2</v>
      </c>
      <c r="H43">
        <v>0.7</v>
      </c>
      <c r="I43" t="s">
        <v>732</v>
      </c>
      <c r="J43" t="s">
        <v>739</v>
      </c>
    </row>
    <row r="44" spans="1:10" x14ac:dyDescent="0.3">
      <c r="A44" t="s">
        <v>152</v>
      </c>
      <c r="B44" t="s">
        <v>153</v>
      </c>
      <c r="C44" t="s">
        <v>9</v>
      </c>
      <c r="D44" t="s">
        <v>41</v>
      </c>
      <c r="E44" t="s">
        <v>42</v>
      </c>
      <c r="F44">
        <v>1</v>
      </c>
      <c r="G44">
        <v>1</v>
      </c>
      <c r="H44">
        <v>0.3</v>
      </c>
      <c r="I44" t="s">
        <v>732</v>
      </c>
      <c r="J44" t="s">
        <v>739</v>
      </c>
    </row>
    <row r="45" spans="1:10" x14ac:dyDescent="0.3">
      <c r="A45" t="s">
        <v>152</v>
      </c>
      <c r="B45" t="s">
        <v>153</v>
      </c>
      <c r="C45" t="s">
        <v>9</v>
      </c>
      <c r="D45" t="s">
        <v>481</v>
      </c>
      <c r="E45" t="s">
        <v>482</v>
      </c>
      <c r="F45">
        <v>1</v>
      </c>
      <c r="G45">
        <v>0</v>
      </c>
      <c r="H45">
        <v>0</v>
      </c>
      <c r="I45" t="s">
        <v>732</v>
      </c>
      <c r="J45" t="s">
        <v>739</v>
      </c>
    </row>
    <row r="46" spans="1:10" x14ac:dyDescent="0.3">
      <c r="A46" t="s">
        <v>154</v>
      </c>
      <c r="B46" t="s">
        <v>155</v>
      </c>
      <c r="C46" t="s">
        <v>9</v>
      </c>
      <c r="D46" t="s">
        <v>43</v>
      </c>
      <c r="E46" t="s">
        <v>44</v>
      </c>
      <c r="F46">
        <v>3</v>
      </c>
      <c r="G46">
        <v>2</v>
      </c>
      <c r="H46">
        <v>1</v>
      </c>
      <c r="I46" t="s">
        <v>732</v>
      </c>
      <c r="J46" t="s">
        <v>739</v>
      </c>
    </row>
    <row r="47" spans="1:10" x14ac:dyDescent="0.3">
      <c r="A47" t="s">
        <v>154</v>
      </c>
      <c r="B47" t="s">
        <v>155</v>
      </c>
      <c r="C47" t="s">
        <v>9</v>
      </c>
      <c r="D47" t="s">
        <v>481</v>
      </c>
      <c r="E47" t="s">
        <v>482</v>
      </c>
      <c r="F47">
        <v>2</v>
      </c>
      <c r="G47">
        <v>0</v>
      </c>
      <c r="H47">
        <v>0</v>
      </c>
      <c r="I47" t="s">
        <v>732</v>
      </c>
      <c r="J47" t="s">
        <v>739</v>
      </c>
    </row>
    <row r="48" spans="1:10" x14ac:dyDescent="0.3">
      <c r="A48" t="s">
        <v>156</v>
      </c>
      <c r="B48" t="s">
        <v>157</v>
      </c>
      <c r="C48" t="s">
        <v>9</v>
      </c>
      <c r="D48" t="s">
        <v>43</v>
      </c>
      <c r="E48" t="s">
        <v>44</v>
      </c>
      <c r="F48">
        <v>3</v>
      </c>
      <c r="G48">
        <v>2</v>
      </c>
      <c r="H48">
        <v>1</v>
      </c>
      <c r="I48" t="s">
        <v>732</v>
      </c>
      <c r="J48" t="s">
        <v>733</v>
      </c>
    </row>
    <row r="49" spans="1:10" x14ac:dyDescent="0.3">
      <c r="A49" t="s">
        <v>158</v>
      </c>
      <c r="B49" t="s">
        <v>159</v>
      </c>
      <c r="C49" t="s">
        <v>9</v>
      </c>
      <c r="D49" t="s">
        <v>43</v>
      </c>
      <c r="E49" t="s">
        <v>44</v>
      </c>
      <c r="F49">
        <v>3</v>
      </c>
      <c r="G49">
        <v>2</v>
      </c>
      <c r="H49">
        <v>1</v>
      </c>
      <c r="I49" t="s">
        <v>732</v>
      </c>
      <c r="J49" t="s">
        <v>739</v>
      </c>
    </row>
    <row r="50" spans="1:10" x14ac:dyDescent="0.3">
      <c r="A50" t="s">
        <v>158</v>
      </c>
      <c r="B50" t="s">
        <v>159</v>
      </c>
      <c r="C50" t="s">
        <v>9</v>
      </c>
      <c r="D50" t="s">
        <v>481</v>
      </c>
      <c r="E50" t="s">
        <v>482</v>
      </c>
      <c r="F50">
        <v>1</v>
      </c>
      <c r="G50">
        <v>0</v>
      </c>
      <c r="H50">
        <v>0</v>
      </c>
      <c r="I50" t="s">
        <v>732</v>
      </c>
      <c r="J50" t="s">
        <v>739</v>
      </c>
    </row>
    <row r="51" spans="1:10" x14ac:dyDescent="0.3">
      <c r="A51" t="s">
        <v>160</v>
      </c>
      <c r="B51" t="s">
        <v>161</v>
      </c>
      <c r="C51" t="s">
        <v>9</v>
      </c>
      <c r="D51" t="s">
        <v>43</v>
      </c>
      <c r="E51" t="s">
        <v>44</v>
      </c>
      <c r="F51">
        <v>2</v>
      </c>
      <c r="G51">
        <v>2</v>
      </c>
      <c r="H51">
        <v>0.7</v>
      </c>
      <c r="I51" t="s">
        <v>732</v>
      </c>
      <c r="J51" t="s">
        <v>739</v>
      </c>
    </row>
    <row r="52" spans="1:10" x14ac:dyDescent="0.3">
      <c r="A52" t="s">
        <v>160</v>
      </c>
      <c r="B52" t="s">
        <v>161</v>
      </c>
      <c r="C52" t="s">
        <v>9</v>
      </c>
      <c r="D52" t="s">
        <v>41</v>
      </c>
      <c r="E52" t="s">
        <v>42</v>
      </c>
      <c r="F52">
        <v>1</v>
      </c>
      <c r="G52">
        <v>1</v>
      </c>
      <c r="H52">
        <v>0.3</v>
      </c>
      <c r="I52" t="s">
        <v>732</v>
      </c>
      <c r="J52" t="s">
        <v>739</v>
      </c>
    </row>
    <row r="53" spans="1:10" x14ac:dyDescent="0.3">
      <c r="A53" t="s">
        <v>162</v>
      </c>
      <c r="B53" t="s">
        <v>163</v>
      </c>
      <c r="C53" t="s">
        <v>9</v>
      </c>
      <c r="D53" t="s">
        <v>43</v>
      </c>
      <c r="E53" t="s">
        <v>44</v>
      </c>
      <c r="F53">
        <v>2</v>
      </c>
      <c r="G53">
        <v>2</v>
      </c>
      <c r="H53">
        <v>0.7</v>
      </c>
      <c r="I53" t="s">
        <v>732</v>
      </c>
      <c r="J53" t="s">
        <v>739</v>
      </c>
    </row>
    <row r="54" spans="1:10" x14ac:dyDescent="0.3">
      <c r="A54" t="s">
        <v>162</v>
      </c>
      <c r="B54" t="s">
        <v>163</v>
      </c>
      <c r="C54" t="s">
        <v>9</v>
      </c>
      <c r="D54" t="s">
        <v>41</v>
      </c>
      <c r="E54" t="s">
        <v>42</v>
      </c>
      <c r="F54">
        <v>1</v>
      </c>
      <c r="G54">
        <v>1</v>
      </c>
      <c r="H54">
        <v>0.3</v>
      </c>
      <c r="I54" t="s">
        <v>732</v>
      </c>
      <c r="J54" t="s">
        <v>739</v>
      </c>
    </row>
    <row r="55" spans="1:10" x14ac:dyDescent="0.3">
      <c r="A55" t="s">
        <v>162</v>
      </c>
      <c r="B55" t="s">
        <v>163</v>
      </c>
      <c r="C55" t="s">
        <v>9</v>
      </c>
      <c r="D55" t="s">
        <v>481</v>
      </c>
      <c r="E55" t="s">
        <v>482</v>
      </c>
      <c r="F55">
        <v>2</v>
      </c>
      <c r="G55">
        <v>0</v>
      </c>
      <c r="H55">
        <v>0</v>
      </c>
      <c r="I55" t="s">
        <v>732</v>
      </c>
      <c r="J55" t="s">
        <v>739</v>
      </c>
    </row>
    <row r="56" spans="1:10" x14ac:dyDescent="0.3">
      <c r="A56" t="s">
        <v>164</v>
      </c>
      <c r="B56" t="s">
        <v>165</v>
      </c>
      <c r="C56" t="s">
        <v>9</v>
      </c>
      <c r="D56" t="s">
        <v>489</v>
      </c>
      <c r="E56" t="s">
        <v>490</v>
      </c>
      <c r="F56">
        <v>1</v>
      </c>
      <c r="G56">
        <v>1</v>
      </c>
      <c r="H56">
        <v>0.3</v>
      </c>
      <c r="I56" t="s">
        <v>732</v>
      </c>
      <c r="J56" t="s">
        <v>738</v>
      </c>
    </row>
    <row r="57" spans="1:10" x14ac:dyDescent="0.3">
      <c r="A57" t="s">
        <v>164</v>
      </c>
      <c r="B57" t="s">
        <v>165</v>
      </c>
      <c r="C57" t="s">
        <v>9</v>
      </c>
      <c r="D57" t="s">
        <v>740</v>
      </c>
      <c r="E57" t="s">
        <v>741</v>
      </c>
      <c r="F57">
        <v>2</v>
      </c>
      <c r="G57">
        <v>2</v>
      </c>
      <c r="H57">
        <v>0.6</v>
      </c>
      <c r="I57" t="s">
        <v>732</v>
      </c>
      <c r="J57" t="s">
        <v>738</v>
      </c>
    </row>
    <row r="58" spans="1:10" x14ac:dyDescent="0.3">
      <c r="A58" t="s">
        <v>166</v>
      </c>
      <c r="B58" t="s">
        <v>167</v>
      </c>
      <c r="C58" t="s">
        <v>9</v>
      </c>
      <c r="D58" t="s">
        <v>41</v>
      </c>
      <c r="E58" t="s">
        <v>42</v>
      </c>
      <c r="F58">
        <v>2</v>
      </c>
      <c r="G58">
        <v>2</v>
      </c>
      <c r="H58">
        <v>1</v>
      </c>
      <c r="I58" t="s">
        <v>732</v>
      </c>
      <c r="J58" t="s">
        <v>733</v>
      </c>
    </row>
    <row r="59" spans="1:10" x14ac:dyDescent="0.3">
      <c r="A59" t="s">
        <v>168</v>
      </c>
      <c r="B59" t="s">
        <v>169</v>
      </c>
      <c r="C59" t="s">
        <v>9</v>
      </c>
      <c r="D59" t="s">
        <v>43</v>
      </c>
      <c r="E59" t="s">
        <v>44</v>
      </c>
      <c r="F59">
        <v>1</v>
      </c>
      <c r="G59">
        <v>1</v>
      </c>
      <c r="H59">
        <v>0.5</v>
      </c>
      <c r="I59" t="s">
        <v>732</v>
      </c>
      <c r="J59" t="s">
        <v>738</v>
      </c>
    </row>
    <row r="60" spans="1:10" x14ac:dyDescent="0.3">
      <c r="A60" t="s">
        <v>168</v>
      </c>
      <c r="B60" t="s">
        <v>169</v>
      </c>
      <c r="C60" t="s">
        <v>9</v>
      </c>
      <c r="D60" t="s">
        <v>41</v>
      </c>
      <c r="E60" t="s">
        <v>42</v>
      </c>
      <c r="F60">
        <v>1</v>
      </c>
      <c r="G60">
        <v>1</v>
      </c>
      <c r="H60">
        <v>0.5</v>
      </c>
      <c r="I60" t="s">
        <v>732</v>
      </c>
      <c r="J60" t="s">
        <v>738</v>
      </c>
    </row>
    <row r="61" spans="1:10" x14ac:dyDescent="0.3">
      <c r="A61" t="s">
        <v>170</v>
      </c>
      <c r="B61" t="s">
        <v>171</v>
      </c>
      <c r="C61" t="s">
        <v>9</v>
      </c>
      <c r="D61" t="s">
        <v>43</v>
      </c>
      <c r="E61" t="s">
        <v>44</v>
      </c>
      <c r="F61">
        <v>2</v>
      </c>
      <c r="G61">
        <v>2</v>
      </c>
      <c r="H61">
        <v>1</v>
      </c>
      <c r="I61" t="s">
        <v>732</v>
      </c>
      <c r="J61" t="s">
        <v>733</v>
      </c>
    </row>
    <row r="62" spans="1:10" x14ac:dyDescent="0.3">
      <c r="A62" t="s">
        <v>172</v>
      </c>
      <c r="B62" t="s">
        <v>173</v>
      </c>
      <c r="C62" t="s">
        <v>9</v>
      </c>
      <c r="D62" s="5" t="s">
        <v>841</v>
      </c>
      <c r="E62" s="5" t="s">
        <v>842</v>
      </c>
      <c r="F62">
        <v>5</v>
      </c>
      <c r="G62">
        <v>5</v>
      </c>
      <c r="H62">
        <v>1</v>
      </c>
      <c r="I62" t="s">
        <v>728</v>
      </c>
      <c r="J62" t="s">
        <v>729</v>
      </c>
    </row>
    <row r="63" spans="1:10" x14ac:dyDescent="0.3">
      <c r="A63" t="s">
        <v>174</v>
      </c>
      <c r="B63" t="s">
        <v>175</v>
      </c>
      <c r="C63" t="s">
        <v>9</v>
      </c>
      <c r="D63" s="5" t="s">
        <v>841</v>
      </c>
      <c r="E63" s="5" t="s">
        <v>842</v>
      </c>
      <c r="F63">
        <v>3</v>
      </c>
      <c r="G63">
        <v>3</v>
      </c>
      <c r="H63">
        <v>1</v>
      </c>
      <c r="I63" t="s">
        <v>728</v>
      </c>
      <c r="J63" t="s">
        <v>729</v>
      </c>
    </row>
    <row r="64" spans="1:10" x14ac:dyDescent="0.3">
      <c r="A64" t="s">
        <v>176</v>
      </c>
      <c r="B64" t="s">
        <v>177</v>
      </c>
      <c r="C64" t="s">
        <v>9</v>
      </c>
      <c r="D64" t="s">
        <v>45</v>
      </c>
      <c r="E64" t="s">
        <v>46</v>
      </c>
      <c r="F64">
        <v>1</v>
      </c>
      <c r="G64">
        <v>1</v>
      </c>
      <c r="H64">
        <v>0.5</v>
      </c>
      <c r="I64" t="s">
        <v>732</v>
      </c>
      <c r="J64" t="s">
        <v>738</v>
      </c>
    </row>
    <row r="65" spans="1:10" x14ac:dyDescent="0.3">
      <c r="A65" t="s">
        <v>176</v>
      </c>
      <c r="B65" t="s">
        <v>177</v>
      </c>
      <c r="C65" t="s">
        <v>9</v>
      </c>
      <c r="D65" t="s">
        <v>35</v>
      </c>
      <c r="E65" t="s">
        <v>36</v>
      </c>
      <c r="F65">
        <v>1</v>
      </c>
      <c r="G65">
        <v>1</v>
      </c>
      <c r="H65">
        <v>0.5</v>
      </c>
      <c r="I65" t="s">
        <v>732</v>
      </c>
      <c r="J65" t="s">
        <v>738</v>
      </c>
    </row>
    <row r="66" spans="1:10" x14ac:dyDescent="0.3">
      <c r="A66" t="s">
        <v>178</v>
      </c>
      <c r="B66" t="s">
        <v>179</v>
      </c>
      <c r="C66" t="s">
        <v>9</v>
      </c>
      <c r="D66" t="s">
        <v>45</v>
      </c>
      <c r="E66" t="s">
        <v>46</v>
      </c>
      <c r="F66">
        <v>1</v>
      </c>
      <c r="G66">
        <v>1</v>
      </c>
      <c r="H66">
        <v>0.5</v>
      </c>
      <c r="I66" t="s">
        <v>732</v>
      </c>
      <c r="J66" t="s">
        <v>738</v>
      </c>
    </row>
    <row r="67" spans="1:10" x14ac:dyDescent="0.3">
      <c r="A67" t="s">
        <v>178</v>
      </c>
      <c r="B67" t="s">
        <v>179</v>
      </c>
      <c r="C67" t="s">
        <v>9</v>
      </c>
      <c r="D67" t="s">
        <v>31</v>
      </c>
      <c r="E67" t="s">
        <v>32</v>
      </c>
      <c r="F67">
        <v>1</v>
      </c>
      <c r="G67">
        <v>1</v>
      </c>
      <c r="H67">
        <v>0.5</v>
      </c>
      <c r="I67" t="s">
        <v>732</v>
      </c>
      <c r="J67" t="s">
        <v>738</v>
      </c>
    </row>
    <row r="68" spans="1:10" x14ac:dyDescent="0.3">
      <c r="A68" t="s">
        <v>180</v>
      </c>
      <c r="B68" t="s">
        <v>181</v>
      </c>
      <c r="C68" t="s">
        <v>9</v>
      </c>
      <c r="D68" t="s">
        <v>45</v>
      </c>
      <c r="E68" t="s">
        <v>46</v>
      </c>
      <c r="F68">
        <v>1</v>
      </c>
      <c r="G68">
        <v>1</v>
      </c>
      <c r="H68">
        <v>0.5</v>
      </c>
      <c r="I68" t="s">
        <v>732</v>
      </c>
      <c r="J68" t="s">
        <v>738</v>
      </c>
    </row>
    <row r="69" spans="1:10" x14ac:dyDescent="0.3">
      <c r="A69" t="s">
        <v>180</v>
      </c>
      <c r="B69" t="s">
        <v>181</v>
      </c>
      <c r="C69" t="s">
        <v>9</v>
      </c>
      <c r="D69" t="s">
        <v>33</v>
      </c>
      <c r="E69" t="s">
        <v>34</v>
      </c>
      <c r="F69">
        <v>1</v>
      </c>
      <c r="G69">
        <v>1</v>
      </c>
      <c r="H69">
        <v>0.5</v>
      </c>
      <c r="I69" t="s">
        <v>732</v>
      </c>
      <c r="J69" t="s">
        <v>738</v>
      </c>
    </row>
    <row r="70" spans="1:10" x14ac:dyDescent="0.3">
      <c r="A70" t="s">
        <v>182</v>
      </c>
      <c r="B70" t="s">
        <v>183</v>
      </c>
      <c r="C70" t="s">
        <v>9</v>
      </c>
      <c r="D70" t="s">
        <v>45</v>
      </c>
      <c r="E70" t="s">
        <v>46</v>
      </c>
      <c r="F70">
        <v>1</v>
      </c>
      <c r="G70">
        <v>1</v>
      </c>
      <c r="H70">
        <v>0.5</v>
      </c>
      <c r="I70" t="s">
        <v>732</v>
      </c>
      <c r="J70" t="s">
        <v>738</v>
      </c>
    </row>
    <row r="71" spans="1:10" x14ac:dyDescent="0.3">
      <c r="A71" t="s">
        <v>182</v>
      </c>
      <c r="B71" t="s">
        <v>183</v>
      </c>
      <c r="C71" t="s">
        <v>9</v>
      </c>
      <c r="D71" t="s">
        <v>493</v>
      </c>
      <c r="E71" t="s">
        <v>494</v>
      </c>
      <c r="F71">
        <v>1</v>
      </c>
      <c r="G71">
        <v>1</v>
      </c>
      <c r="H71">
        <v>0.5</v>
      </c>
      <c r="I71" t="s">
        <v>732</v>
      </c>
      <c r="J71" t="s">
        <v>738</v>
      </c>
    </row>
    <row r="72" spans="1:10" x14ac:dyDescent="0.3">
      <c r="A72" t="s">
        <v>184</v>
      </c>
      <c r="B72" t="s">
        <v>185</v>
      </c>
      <c r="C72" t="s">
        <v>9</v>
      </c>
      <c r="D72" t="s">
        <v>45</v>
      </c>
      <c r="E72" t="s">
        <v>46</v>
      </c>
      <c r="F72">
        <v>1</v>
      </c>
      <c r="G72">
        <v>1</v>
      </c>
      <c r="H72">
        <v>0.5</v>
      </c>
      <c r="I72" t="s">
        <v>732</v>
      </c>
      <c r="J72" t="s">
        <v>738</v>
      </c>
    </row>
    <row r="73" spans="1:10" x14ac:dyDescent="0.3">
      <c r="A73" t="s">
        <v>184</v>
      </c>
      <c r="B73" t="s">
        <v>185</v>
      </c>
      <c r="C73" t="s">
        <v>9</v>
      </c>
      <c r="D73" t="s">
        <v>495</v>
      </c>
      <c r="E73" t="s">
        <v>496</v>
      </c>
      <c r="F73">
        <v>1</v>
      </c>
      <c r="G73">
        <v>1</v>
      </c>
      <c r="H73">
        <v>0.5</v>
      </c>
      <c r="I73" t="s">
        <v>732</v>
      </c>
      <c r="J73" t="s">
        <v>738</v>
      </c>
    </row>
    <row r="74" spans="1:10" x14ac:dyDescent="0.3">
      <c r="A74" t="s">
        <v>186</v>
      </c>
      <c r="B74" t="s">
        <v>187</v>
      </c>
      <c r="C74" t="s">
        <v>9</v>
      </c>
      <c r="D74" t="s">
        <v>45</v>
      </c>
      <c r="E74" t="s">
        <v>46</v>
      </c>
      <c r="F74">
        <v>1</v>
      </c>
      <c r="G74">
        <v>1</v>
      </c>
      <c r="H74">
        <v>0.5</v>
      </c>
      <c r="I74" t="s">
        <v>732</v>
      </c>
      <c r="J74" t="s">
        <v>738</v>
      </c>
    </row>
    <row r="75" spans="1:10" x14ac:dyDescent="0.3">
      <c r="A75" t="s">
        <v>186</v>
      </c>
      <c r="B75" t="s">
        <v>187</v>
      </c>
      <c r="C75" t="s">
        <v>9</v>
      </c>
      <c r="D75" t="s">
        <v>497</v>
      </c>
      <c r="E75" t="s">
        <v>498</v>
      </c>
      <c r="F75">
        <v>1</v>
      </c>
      <c r="G75">
        <v>1</v>
      </c>
      <c r="H75">
        <v>0.5</v>
      </c>
      <c r="I75" t="s">
        <v>732</v>
      </c>
      <c r="J75" t="s">
        <v>738</v>
      </c>
    </row>
    <row r="76" spans="1:10" x14ac:dyDescent="0.3">
      <c r="A76" t="s">
        <v>188</v>
      </c>
      <c r="B76" t="s">
        <v>189</v>
      </c>
      <c r="C76" t="s">
        <v>9</v>
      </c>
      <c r="D76" t="s">
        <v>45</v>
      </c>
      <c r="E76" t="s">
        <v>46</v>
      </c>
      <c r="F76">
        <v>1</v>
      </c>
      <c r="G76">
        <v>1</v>
      </c>
      <c r="H76">
        <v>0.5</v>
      </c>
      <c r="I76" t="s">
        <v>732</v>
      </c>
      <c r="J76" t="s">
        <v>738</v>
      </c>
    </row>
    <row r="77" spans="1:10" x14ac:dyDescent="0.3">
      <c r="A77" t="s">
        <v>188</v>
      </c>
      <c r="B77" t="s">
        <v>189</v>
      </c>
      <c r="C77" t="s">
        <v>9</v>
      </c>
      <c r="D77" t="s">
        <v>499</v>
      </c>
      <c r="E77" t="s">
        <v>500</v>
      </c>
      <c r="F77">
        <v>1</v>
      </c>
      <c r="G77">
        <v>1</v>
      </c>
      <c r="H77">
        <v>0.5</v>
      </c>
      <c r="I77" t="s">
        <v>732</v>
      </c>
      <c r="J77" t="s">
        <v>738</v>
      </c>
    </row>
    <row r="78" spans="1:10" x14ac:dyDescent="0.3">
      <c r="A78" t="s">
        <v>190</v>
      </c>
      <c r="B78" t="s">
        <v>191</v>
      </c>
      <c r="C78" t="s">
        <v>9</v>
      </c>
      <c r="D78" t="s">
        <v>47</v>
      </c>
      <c r="E78" t="s">
        <v>48</v>
      </c>
      <c r="F78">
        <v>6</v>
      </c>
      <c r="G78">
        <v>3</v>
      </c>
      <c r="H78">
        <v>1</v>
      </c>
      <c r="I78" t="s">
        <v>734</v>
      </c>
      <c r="J78" t="s">
        <v>742</v>
      </c>
    </row>
    <row r="79" spans="1:10" x14ac:dyDescent="0.3">
      <c r="A79" t="s">
        <v>192</v>
      </c>
      <c r="B79" t="s">
        <v>193</v>
      </c>
      <c r="C79" t="s">
        <v>9</v>
      </c>
      <c r="D79" t="s">
        <v>47</v>
      </c>
      <c r="E79" t="s">
        <v>48</v>
      </c>
      <c r="F79">
        <v>2</v>
      </c>
      <c r="G79">
        <v>1</v>
      </c>
      <c r="H79">
        <v>1</v>
      </c>
      <c r="I79" t="s">
        <v>734</v>
      </c>
      <c r="J79" t="s">
        <v>743</v>
      </c>
    </row>
    <row r="80" spans="1:10" x14ac:dyDescent="0.3">
      <c r="A80" t="s">
        <v>194</v>
      </c>
      <c r="B80" t="s">
        <v>195</v>
      </c>
      <c r="C80" t="s">
        <v>9</v>
      </c>
      <c r="D80" t="s">
        <v>47</v>
      </c>
      <c r="E80" t="s">
        <v>48</v>
      </c>
      <c r="F80">
        <v>12</v>
      </c>
      <c r="G80">
        <v>6</v>
      </c>
      <c r="H80">
        <v>1</v>
      </c>
      <c r="I80" t="s">
        <v>732</v>
      </c>
      <c r="J80" t="s">
        <v>733</v>
      </c>
    </row>
    <row r="81" spans="1:10" x14ac:dyDescent="0.3">
      <c r="A81" t="s">
        <v>196</v>
      </c>
      <c r="B81" t="s">
        <v>197</v>
      </c>
      <c r="C81" t="s">
        <v>9</v>
      </c>
      <c r="D81" t="s">
        <v>47</v>
      </c>
      <c r="E81" t="s">
        <v>48</v>
      </c>
      <c r="F81">
        <v>1</v>
      </c>
      <c r="G81">
        <v>1</v>
      </c>
      <c r="H81">
        <v>1</v>
      </c>
      <c r="I81" t="s">
        <v>732</v>
      </c>
      <c r="J81" t="s">
        <v>738</v>
      </c>
    </row>
    <row r="82" spans="1:10" x14ac:dyDescent="0.3">
      <c r="A82" t="s">
        <v>196</v>
      </c>
      <c r="B82" t="s">
        <v>197</v>
      </c>
      <c r="C82" t="s">
        <v>9</v>
      </c>
      <c r="D82" t="s">
        <v>744</v>
      </c>
      <c r="E82" t="s">
        <v>745</v>
      </c>
      <c r="F82">
        <v>1</v>
      </c>
      <c r="G82">
        <v>0</v>
      </c>
      <c r="H82">
        <v>0</v>
      </c>
      <c r="I82" t="s">
        <v>732</v>
      </c>
      <c r="J82" t="s">
        <v>738</v>
      </c>
    </row>
    <row r="83" spans="1:10" x14ac:dyDescent="0.3">
      <c r="A83" t="s">
        <v>198</v>
      </c>
      <c r="B83" t="s">
        <v>199</v>
      </c>
      <c r="C83" t="s">
        <v>9</v>
      </c>
      <c r="D83" t="s">
        <v>49</v>
      </c>
      <c r="E83" t="s">
        <v>746</v>
      </c>
      <c r="F83">
        <v>2</v>
      </c>
      <c r="G83">
        <v>1</v>
      </c>
      <c r="H83">
        <v>1</v>
      </c>
      <c r="I83" t="s">
        <v>732</v>
      </c>
      <c r="J83" t="s">
        <v>733</v>
      </c>
    </row>
    <row r="84" spans="1:10" x14ac:dyDescent="0.3">
      <c r="A84" t="s">
        <v>200</v>
      </c>
      <c r="B84" t="s">
        <v>201</v>
      </c>
      <c r="C84" t="s">
        <v>9</v>
      </c>
      <c r="D84" t="s">
        <v>327</v>
      </c>
      <c r="E84" t="s">
        <v>328</v>
      </c>
      <c r="F84">
        <v>2</v>
      </c>
      <c r="G84">
        <v>1</v>
      </c>
      <c r="H84">
        <v>1</v>
      </c>
      <c r="I84" t="s">
        <v>734</v>
      </c>
      <c r="J84" t="s">
        <v>735</v>
      </c>
    </row>
    <row r="85" spans="1:10" x14ac:dyDescent="0.3">
      <c r="A85" t="s">
        <v>202</v>
      </c>
      <c r="B85" t="s">
        <v>203</v>
      </c>
      <c r="C85" t="s">
        <v>9</v>
      </c>
      <c r="D85" t="s">
        <v>329</v>
      </c>
      <c r="E85" t="s">
        <v>330</v>
      </c>
      <c r="F85">
        <v>3</v>
      </c>
      <c r="G85">
        <v>1</v>
      </c>
      <c r="H85">
        <v>1</v>
      </c>
      <c r="I85" t="s">
        <v>732</v>
      </c>
      <c r="J85" t="s">
        <v>733</v>
      </c>
    </row>
    <row r="86" spans="1:10" x14ac:dyDescent="0.3">
      <c r="A86" t="s">
        <v>204</v>
      </c>
      <c r="B86" t="s">
        <v>205</v>
      </c>
      <c r="C86" t="s">
        <v>9</v>
      </c>
      <c r="D86" t="s">
        <v>327</v>
      </c>
      <c r="E86" t="s">
        <v>328</v>
      </c>
      <c r="F86">
        <v>2</v>
      </c>
      <c r="G86">
        <v>1</v>
      </c>
      <c r="H86">
        <v>1</v>
      </c>
      <c r="I86" t="s">
        <v>734</v>
      </c>
      <c r="J86" t="s">
        <v>743</v>
      </c>
    </row>
    <row r="87" spans="1:10" x14ac:dyDescent="0.3">
      <c r="A87" t="s">
        <v>206</v>
      </c>
      <c r="B87" t="s">
        <v>207</v>
      </c>
      <c r="C87" t="s">
        <v>9</v>
      </c>
      <c r="D87" t="s">
        <v>329</v>
      </c>
      <c r="E87" t="s">
        <v>330</v>
      </c>
      <c r="F87">
        <v>2</v>
      </c>
      <c r="G87">
        <v>1</v>
      </c>
      <c r="H87">
        <v>1</v>
      </c>
      <c r="I87" t="s">
        <v>728</v>
      </c>
      <c r="J87" t="s">
        <v>748</v>
      </c>
    </row>
    <row r="88" spans="1:10" x14ac:dyDescent="0.3">
      <c r="A88" t="s">
        <v>206</v>
      </c>
      <c r="B88" t="s">
        <v>207</v>
      </c>
      <c r="C88" t="s">
        <v>9</v>
      </c>
      <c r="D88" t="s">
        <v>329</v>
      </c>
      <c r="E88" t="s">
        <v>330</v>
      </c>
      <c r="F88">
        <v>2</v>
      </c>
      <c r="G88">
        <v>1</v>
      </c>
      <c r="H88">
        <v>1</v>
      </c>
      <c r="I88" t="s">
        <v>728</v>
      </c>
      <c r="J88" t="s">
        <v>748</v>
      </c>
    </row>
    <row r="89" spans="1:10" x14ac:dyDescent="0.3">
      <c r="A89" t="s">
        <v>208</v>
      </c>
      <c r="B89" t="s">
        <v>209</v>
      </c>
      <c r="C89" t="s">
        <v>9</v>
      </c>
      <c r="D89" t="s">
        <v>331</v>
      </c>
      <c r="E89" t="s">
        <v>332</v>
      </c>
      <c r="F89">
        <v>2</v>
      </c>
      <c r="G89">
        <v>1</v>
      </c>
      <c r="H89">
        <v>1</v>
      </c>
      <c r="I89" t="s">
        <v>734</v>
      </c>
      <c r="J89" t="s">
        <v>743</v>
      </c>
    </row>
    <row r="90" spans="1:10" x14ac:dyDescent="0.3">
      <c r="A90" t="s">
        <v>210</v>
      </c>
      <c r="B90" t="s">
        <v>211</v>
      </c>
      <c r="C90" t="s">
        <v>9</v>
      </c>
      <c r="D90" t="s">
        <v>333</v>
      </c>
      <c r="E90" t="s">
        <v>334</v>
      </c>
      <c r="F90">
        <v>1</v>
      </c>
      <c r="G90">
        <v>0</v>
      </c>
      <c r="H90">
        <v>0</v>
      </c>
      <c r="I90" t="s">
        <v>732</v>
      </c>
      <c r="J90" t="s">
        <v>738</v>
      </c>
    </row>
    <row r="91" spans="1:10" x14ac:dyDescent="0.3">
      <c r="A91" t="s">
        <v>210</v>
      </c>
      <c r="B91" t="s">
        <v>211</v>
      </c>
      <c r="C91" t="s">
        <v>9</v>
      </c>
      <c r="D91" t="s">
        <v>331</v>
      </c>
      <c r="E91" t="s">
        <v>332</v>
      </c>
      <c r="F91">
        <v>1</v>
      </c>
      <c r="G91">
        <v>1</v>
      </c>
      <c r="H91">
        <v>1</v>
      </c>
      <c r="I91" t="s">
        <v>732</v>
      </c>
      <c r="J91" t="s">
        <v>738</v>
      </c>
    </row>
    <row r="92" spans="1:10" x14ac:dyDescent="0.3">
      <c r="A92" t="s">
        <v>212</v>
      </c>
      <c r="B92" t="s">
        <v>213</v>
      </c>
      <c r="C92" t="s">
        <v>9</v>
      </c>
      <c r="D92" t="s">
        <v>333</v>
      </c>
      <c r="E92" t="s">
        <v>334</v>
      </c>
      <c r="F92">
        <v>3</v>
      </c>
      <c r="G92">
        <v>3</v>
      </c>
      <c r="H92">
        <v>1</v>
      </c>
      <c r="I92" t="s">
        <v>734</v>
      </c>
      <c r="J92" t="s">
        <v>749</v>
      </c>
    </row>
    <row r="93" spans="1:10" x14ac:dyDescent="0.3">
      <c r="A93" t="s">
        <v>214</v>
      </c>
      <c r="B93" t="s">
        <v>215</v>
      </c>
      <c r="C93" t="s">
        <v>9</v>
      </c>
      <c r="D93" t="s">
        <v>331</v>
      </c>
      <c r="E93" t="s">
        <v>332</v>
      </c>
      <c r="F93">
        <v>12</v>
      </c>
      <c r="G93">
        <v>6</v>
      </c>
      <c r="H93">
        <v>1</v>
      </c>
      <c r="I93" t="s">
        <v>734</v>
      </c>
      <c r="J93" t="s">
        <v>750</v>
      </c>
    </row>
    <row r="94" spans="1:10" x14ac:dyDescent="0.3">
      <c r="A94" t="s">
        <v>216</v>
      </c>
      <c r="B94" t="s">
        <v>217</v>
      </c>
      <c r="C94" t="s">
        <v>9</v>
      </c>
      <c r="D94" t="s">
        <v>331</v>
      </c>
      <c r="E94" t="s">
        <v>332</v>
      </c>
      <c r="F94">
        <v>6</v>
      </c>
      <c r="G94">
        <v>3</v>
      </c>
      <c r="H94">
        <v>1</v>
      </c>
      <c r="I94" t="s">
        <v>734</v>
      </c>
      <c r="J94" t="s">
        <v>742</v>
      </c>
    </row>
    <row r="95" spans="1:10" x14ac:dyDescent="0.3">
      <c r="A95" t="s">
        <v>218</v>
      </c>
      <c r="B95" t="s">
        <v>219</v>
      </c>
      <c r="C95" t="s">
        <v>9</v>
      </c>
      <c r="D95" t="s">
        <v>335</v>
      </c>
      <c r="E95" t="s">
        <v>336</v>
      </c>
      <c r="F95">
        <v>2</v>
      </c>
      <c r="G95">
        <v>2</v>
      </c>
      <c r="H95">
        <v>1</v>
      </c>
      <c r="I95" t="s">
        <v>732</v>
      </c>
      <c r="J95" t="s">
        <v>738</v>
      </c>
    </row>
    <row r="96" spans="1:10" x14ac:dyDescent="0.3">
      <c r="A96" t="s">
        <v>218</v>
      </c>
      <c r="B96" t="s">
        <v>219</v>
      </c>
      <c r="C96" t="s">
        <v>9</v>
      </c>
      <c r="D96" t="s">
        <v>501</v>
      </c>
      <c r="E96" t="s">
        <v>502</v>
      </c>
      <c r="F96">
        <v>1</v>
      </c>
      <c r="G96">
        <v>0</v>
      </c>
      <c r="H96">
        <v>0</v>
      </c>
      <c r="I96" t="s">
        <v>732</v>
      </c>
      <c r="J96" t="s">
        <v>738</v>
      </c>
    </row>
    <row r="97" spans="1:10" x14ac:dyDescent="0.3">
      <c r="A97" t="s">
        <v>220</v>
      </c>
      <c r="B97" t="s">
        <v>221</v>
      </c>
      <c r="C97" t="s">
        <v>9</v>
      </c>
      <c r="D97" t="s">
        <v>335</v>
      </c>
      <c r="E97" t="s">
        <v>336</v>
      </c>
      <c r="F97">
        <v>2</v>
      </c>
      <c r="G97">
        <v>2</v>
      </c>
      <c r="H97">
        <v>1</v>
      </c>
      <c r="I97" t="s">
        <v>732</v>
      </c>
      <c r="J97" t="s">
        <v>733</v>
      </c>
    </row>
    <row r="98" spans="1:10" x14ac:dyDescent="0.3">
      <c r="A98" t="s">
        <v>222</v>
      </c>
      <c r="B98" t="s">
        <v>223</v>
      </c>
      <c r="C98" t="s">
        <v>9</v>
      </c>
      <c r="D98" t="s">
        <v>337</v>
      </c>
      <c r="E98" t="s">
        <v>338</v>
      </c>
      <c r="F98">
        <v>1</v>
      </c>
      <c r="G98">
        <v>1</v>
      </c>
      <c r="H98">
        <v>1</v>
      </c>
      <c r="I98" t="s">
        <v>732</v>
      </c>
      <c r="J98" t="s">
        <v>738</v>
      </c>
    </row>
    <row r="99" spans="1:10" x14ac:dyDescent="0.3">
      <c r="A99" t="s">
        <v>222</v>
      </c>
      <c r="B99" t="s">
        <v>223</v>
      </c>
      <c r="C99" t="s">
        <v>9</v>
      </c>
      <c r="D99" t="s">
        <v>327</v>
      </c>
      <c r="E99" t="s">
        <v>328</v>
      </c>
      <c r="F99">
        <v>1</v>
      </c>
      <c r="G99">
        <v>0</v>
      </c>
      <c r="H99">
        <v>0</v>
      </c>
      <c r="I99" t="s">
        <v>732</v>
      </c>
      <c r="J99" t="s">
        <v>738</v>
      </c>
    </row>
    <row r="100" spans="1:10" x14ac:dyDescent="0.3">
      <c r="A100" t="s">
        <v>224</v>
      </c>
      <c r="B100" t="s">
        <v>225</v>
      </c>
      <c r="C100" t="s">
        <v>9</v>
      </c>
      <c r="D100" t="s">
        <v>339</v>
      </c>
      <c r="E100" t="s">
        <v>751</v>
      </c>
      <c r="F100">
        <v>1</v>
      </c>
      <c r="G100">
        <v>1</v>
      </c>
      <c r="H100">
        <v>1</v>
      </c>
      <c r="I100" t="s">
        <v>732</v>
      </c>
      <c r="J100" t="s">
        <v>752</v>
      </c>
    </row>
    <row r="101" spans="1:10" x14ac:dyDescent="0.3">
      <c r="A101" t="s">
        <v>224</v>
      </c>
      <c r="B101" t="s">
        <v>225</v>
      </c>
      <c r="C101" t="s">
        <v>9</v>
      </c>
      <c r="D101" t="s">
        <v>753</v>
      </c>
      <c r="E101" t="s">
        <v>754</v>
      </c>
      <c r="F101">
        <v>2</v>
      </c>
      <c r="G101">
        <v>0</v>
      </c>
      <c r="H101">
        <v>0</v>
      </c>
      <c r="I101" t="s">
        <v>732</v>
      </c>
      <c r="J101" t="s">
        <v>752</v>
      </c>
    </row>
    <row r="102" spans="1:10" x14ac:dyDescent="0.3">
      <c r="A102" t="s">
        <v>226</v>
      </c>
      <c r="B102" t="s">
        <v>227</v>
      </c>
      <c r="C102" t="s">
        <v>9</v>
      </c>
      <c r="D102" s="5" t="s">
        <v>843</v>
      </c>
      <c r="E102" s="5" t="s">
        <v>844</v>
      </c>
      <c r="F102">
        <v>12</v>
      </c>
      <c r="G102">
        <v>6</v>
      </c>
      <c r="H102">
        <v>1</v>
      </c>
      <c r="I102" t="s">
        <v>728</v>
      </c>
      <c r="J102" t="s">
        <v>755</v>
      </c>
    </row>
    <row r="103" spans="1:10" x14ac:dyDescent="0.3">
      <c r="A103" t="s">
        <v>226</v>
      </c>
      <c r="B103" t="s">
        <v>227</v>
      </c>
      <c r="C103" t="s">
        <v>9</v>
      </c>
      <c r="D103" s="6" t="s">
        <v>845</v>
      </c>
      <c r="E103" s="6" t="s">
        <v>846</v>
      </c>
      <c r="F103">
        <v>6</v>
      </c>
      <c r="G103">
        <v>0</v>
      </c>
      <c r="H103">
        <v>0</v>
      </c>
      <c r="I103" t="s">
        <v>728</v>
      </c>
      <c r="J103" t="s">
        <v>755</v>
      </c>
    </row>
    <row r="104" spans="1:10" x14ac:dyDescent="0.3">
      <c r="A104" t="s">
        <v>228</v>
      </c>
      <c r="B104" t="s">
        <v>229</v>
      </c>
      <c r="C104" t="s">
        <v>9</v>
      </c>
      <c r="D104" s="5" t="s">
        <v>843</v>
      </c>
      <c r="E104" s="5" t="s">
        <v>844</v>
      </c>
      <c r="F104">
        <v>6</v>
      </c>
      <c r="G104">
        <v>3</v>
      </c>
      <c r="H104">
        <v>1</v>
      </c>
      <c r="I104" t="s">
        <v>728</v>
      </c>
      <c r="J104" t="s">
        <v>756</v>
      </c>
    </row>
    <row r="105" spans="1:10" x14ac:dyDescent="0.3">
      <c r="A105" t="s">
        <v>228</v>
      </c>
      <c r="B105" t="s">
        <v>229</v>
      </c>
      <c r="C105" t="s">
        <v>9</v>
      </c>
      <c r="D105" s="6" t="s">
        <v>845</v>
      </c>
      <c r="E105" s="6" t="s">
        <v>846</v>
      </c>
      <c r="F105">
        <v>3</v>
      </c>
      <c r="G105">
        <v>0</v>
      </c>
      <c r="H105">
        <v>0</v>
      </c>
      <c r="I105" t="s">
        <v>728</v>
      </c>
      <c r="J105" t="s">
        <v>756</v>
      </c>
    </row>
    <row r="106" spans="1:10" x14ac:dyDescent="0.3">
      <c r="A106" t="s">
        <v>230</v>
      </c>
      <c r="B106" t="s">
        <v>231</v>
      </c>
      <c r="C106" t="s">
        <v>9</v>
      </c>
      <c r="D106" s="5" t="s">
        <v>843</v>
      </c>
      <c r="E106" s="5" t="s">
        <v>844</v>
      </c>
      <c r="F106">
        <v>2</v>
      </c>
      <c r="G106">
        <v>1</v>
      </c>
      <c r="H106">
        <v>1</v>
      </c>
      <c r="I106" t="s">
        <v>728</v>
      </c>
      <c r="J106" t="s">
        <v>757</v>
      </c>
    </row>
    <row r="107" spans="1:10" x14ac:dyDescent="0.3">
      <c r="A107" t="s">
        <v>230</v>
      </c>
      <c r="B107" t="s">
        <v>231</v>
      </c>
      <c r="C107" t="s">
        <v>9</v>
      </c>
      <c r="D107" s="6" t="s">
        <v>845</v>
      </c>
      <c r="E107" s="6" t="s">
        <v>846</v>
      </c>
      <c r="F107">
        <v>1</v>
      </c>
      <c r="G107">
        <v>0</v>
      </c>
      <c r="H107">
        <v>0</v>
      </c>
      <c r="I107" t="s">
        <v>728</v>
      </c>
      <c r="J107" t="s">
        <v>757</v>
      </c>
    </row>
    <row r="108" spans="1:10" x14ac:dyDescent="0.3">
      <c r="A108" t="s">
        <v>232</v>
      </c>
      <c r="B108" t="s">
        <v>233</v>
      </c>
      <c r="C108" t="s">
        <v>9</v>
      </c>
      <c r="D108" s="5" t="s">
        <v>843</v>
      </c>
      <c r="E108" s="5" t="s">
        <v>844</v>
      </c>
      <c r="F108">
        <v>12</v>
      </c>
      <c r="G108">
        <v>6</v>
      </c>
      <c r="H108">
        <v>1</v>
      </c>
      <c r="I108" t="s">
        <v>728</v>
      </c>
      <c r="J108" t="s">
        <v>755</v>
      </c>
    </row>
    <row r="109" spans="1:10" x14ac:dyDescent="0.3">
      <c r="A109" t="s">
        <v>234</v>
      </c>
      <c r="B109" t="s">
        <v>235</v>
      </c>
      <c r="C109" t="s">
        <v>9</v>
      </c>
      <c r="D109" s="5" t="s">
        <v>843</v>
      </c>
      <c r="E109" s="5" t="s">
        <v>844</v>
      </c>
      <c r="F109">
        <v>6</v>
      </c>
      <c r="G109">
        <v>3</v>
      </c>
      <c r="H109">
        <v>1</v>
      </c>
      <c r="I109" t="s">
        <v>728</v>
      </c>
      <c r="J109" t="s">
        <v>756</v>
      </c>
    </row>
    <row r="110" spans="1:10" x14ac:dyDescent="0.3">
      <c r="A110" t="s">
        <v>236</v>
      </c>
      <c r="B110" t="s">
        <v>237</v>
      </c>
      <c r="C110" t="s">
        <v>9</v>
      </c>
      <c r="D110" s="5" t="s">
        <v>843</v>
      </c>
      <c r="E110" s="5" t="s">
        <v>844</v>
      </c>
      <c r="F110">
        <v>2</v>
      </c>
      <c r="G110">
        <v>1</v>
      </c>
      <c r="H110">
        <v>1</v>
      </c>
      <c r="I110" t="s">
        <v>728</v>
      </c>
      <c r="J110" t="s">
        <v>748</v>
      </c>
    </row>
    <row r="111" spans="1:10" x14ac:dyDescent="0.3">
      <c r="A111" t="s">
        <v>238</v>
      </c>
      <c r="B111" t="s">
        <v>239</v>
      </c>
      <c r="C111" t="s">
        <v>9</v>
      </c>
      <c r="D111" t="s">
        <v>341</v>
      </c>
      <c r="E111" t="s">
        <v>342</v>
      </c>
      <c r="F111">
        <v>12</v>
      </c>
      <c r="G111">
        <v>6</v>
      </c>
      <c r="H111">
        <v>1</v>
      </c>
      <c r="I111" t="s">
        <v>732</v>
      </c>
      <c r="J111" t="s">
        <v>733</v>
      </c>
    </row>
    <row r="112" spans="1:10" x14ac:dyDescent="0.3">
      <c r="A112" t="s">
        <v>240</v>
      </c>
      <c r="B112" t="s">
        <v>241</v>
      </c>
      <c r="C112" t="s">
        <v>9</v>
      </c>
      <c r="D112" t="s">
        <v>341</v>
      </c>
      <c r="E112" t="s">
        <v>342</v>
      </c>
      <c r="F112">
        <v>6</v>
      </c>
      <c r="G112">
        <v>3</v>
      </c>
      <c r="H112">
        <v>1</v>
      </c>
      <c r="I112" t="s">
        <v>732</v>
      </c>
      <c r="J112" t="s">
        <v>733</v>
      </c>
    </row>
    <row r="113" spans="1:10" x14ac:dyDescent="0.3">
      <c r="A113" t="s">
        <v>242</v>
      </c>
      <c r="B113" t="s">
        <v>243</v>
      </c>
      <c r="C113" t="s">
        <v>9</v>
      </c>
      <c r="D113" t="s">
        <v>341</v>
      </c>
      <c r="E113" t="s">
        <v>342</v>
      </c>
      <c r="F113">
        <v>2</v>
      </c>
      <c r="G113">
        <v>1</v>
      </c>
      <c r="H113">
        <v>1</v>
      </c>
      <c r="I113" t="s">
        <v>732</v>
      </c>
      <c r="J113" t="s">
        <v>733</v>
      </c>
    </row>
    <row r="114" spans="1:10" x14ac:dyDescent="0.3">
      <c r="A114" t="s">
        <v>244</v>
      </c>
      <c r="B114" t="s">
        <v>245</v>
      </c>
      <c r="C114" t="s">
        <v>9</v>
      </c>
      <c r="D114" t="s">
        <v>341</v>
      </c>
      <c r="E114" t="s">
        <v>342</v>
      </c>
      <c r="F114">
        <v>6</v>
      </c>
      <c r="G114">
        <v>3</v>
      </c>
      <c r="H114">
        <v>1</v>
      </c>
      <c r="I114" t="s">
        <v>728</v>
      </c>
      <c r="J114" t="s">
        <v>729</v>
      </c>
    </row>
    <row r="115" spans="1:10" x14ac:dyDescent="0.3">
      <c r="A115" t="s">
        <v>246</v>
      </c>
      <c r="B115" t="s">
        <v>247</v>
      </c>
      <c r="C115" t="s">
        <v>9</v>
      </c>
      <c r="D115" t="s">
        <v>345</v>
      </c>
      <c r="E115" t="s">
        <v>346</v>
      </c>
      <c r="F115">
        <v>2</v>
      </c>
      <c r="G115">
        <v>1</v>
      </c>
      <c r="H115">
        <v>1</v>
      </c>
      <c r="I115" t="s">
        <v>732</v>
      </c>
      <c r="J115" t="s">
        <v>733</v>
      </c>
    </row>
    <row r="116" spans="1:10" x14ac:dyDescent="0.3">
      <c r="A116" t="s">
        <v>248</v>
      </c>
      <c r="B116" t="s">
        <v>249</v>
      </c>
      <c r="C116" t="s">
        <v>9</v>
      </c>
      <c r="D116" t="s">
        <v>347</v>
      </c>
      <c r="E116" t="s">
        <v>348</v>
      </c>
      <c r="F116">
        <v>2</v>
      </c>
      <c r="G116">
        <v>2</v>
      </c>
      <c r="H116">
        <v>1</v>
      </c>
      <c r="I116" t="s">
        <v>732</v>
      </c>
      <c r="J116" t="s">
        <v>738</v>
      </c>
    </row>
    <row r="117" spans="1:10" x14ac:dyDescent="0.3">
      <c r="A117" t="s">
        <v>248</v>
      </c>
      <c r="B117" t="s">
        <v>249</v>
      </c>
      <c r="C117" t="s">
        <v>9</v>
      </c>
      <c r="D117" t="s">
        <v>501</v>
      </c>
      <c r="E117" t="s">
        <v>502</v>
      </c>
      <c r="F117">
        <v>1</v>
      </c>
      <c r="G117">
        <v>0</v>
      </c>
      <c r="H117">
        <v>0</v>
      </c>
      <c r="I117" t="s">
        <v>732</v>
      </c>
      <c r="J117" t="s">
        <v>738</v>
      </c>
    </row>
    <row r="118" spans="1:10" x14ac:dyDescent="0.3">
      <c r="A118" t="s">
        <v>250</v>
      </c>
      <c r="B118" t="s">
        <v>251</v>
      </c>
      <c r="C118" t="s">
        <v>9</v>
      </c>
      <c r="D118" t="s">
        <v>347</v>
      </c>
      <c r="E118" t="s">
        <v>348</v>
      </c>
      <c r="F118">
        <v>2</v>
      </c>
      <c r="G118">
        <v>2</v>
      </c>
      <c r="H118">
        <v>1</v>
      </c>
      <c r="I118" t="s">
        <v>732</v>
      </c>
      <c r="J118" t="s">
        <v>733</v>
      </c>
    </row>
    <row r="119" spans="1:10" x14ac:dyDescent="0.3">
      <c r="A119" t="s">
        <v>252</v>
      </c>
      <c r="B119" t="s">
        <v>253</v>
      </c>
      <c r="C119" t="s">
        <v>9</v>
      </c>
      <c r="D119" t="s">
        <v>323</v>
      </c>
      <c r="E119" t="s">
        <v>324</v>
      </c>
      <c r="F119">
        <v>2</v>
      </c>
      <c r="G119">
        <v>1</v>
      </c>
      <c r="H119">
        <v>1</v>
      </c>
      <c r="I119" t="s">
        <v>734</v>
      </c>
      <c r="J119" t="s">
        <v>743</v>
      </c>
    </row>
    <row r="120" spans="1:10" x14ac:dyDescent="0.3">
      <c r="A120" t="s">
        <v>254</v>
      </c>
      <c r="B120" t="s">
        <v>255</v>
      </c>
      <c r="C120" t="s">
        <v>9</v>
      </c>
      <c r="D120" t="s">
        <v>351</v>
      </c>
      <c r="E120" t="s">
        <v>352</v>
      </c>
      <c r="F120">
        <v>2</v>
      </c>
      <c r="G120">
        <v>1</v>
      </c>
      <c r="H120">
        <v>1</v>
      </c>
      <c r="I120" t="s">
        <v>734</v>
      </c>
      <c r="J120" t="s">
        <v>735</v>
      </c>
    </row>
    <row r="121" spans="1:10" x14ac:dyDescent="0.3">
      <c r="A121" t="s">
        <v>256</v>
      </c>
      <c r="B121" t="s">
        <v>257</v>
      </c>
      <c r="C121" t="s">
        <v>9</v>
      </c>
      <c r="D121" t="s">
        <v>353</v>
      </c>
      <c r="E121" t="s">
        <v>758</v>
      </c>
      <c r="F121">
        <v>2</v>
      </c>
      <c r="G121">
        <v>1</v>
      </c>
      <c r="H121">
        <v>1</v>
      </c>
      <c r="I121" t="s">
        <v>732</v>
      </c>
      <c r="J121" t="s">
        <v>733</v>
      </c>
    </row>
    <row r="122" spans="1:10" x14ac:dyDescent="0.3">
      <c r="A122" t="s">
        <v>258</v>
      </c>
      <c r="B122" t="s">
        <v>259</v>
      </c>
      <c r="C122" t="s">
        <v>9</v>
      </c>
      <c r="D122" t="s">
        <v>55</v>
      </c>
      <c r="E122" t="s">
        <v>56</v>
      </c>
      <c r="F122">
        <v>4</v>
      </c>
      <c r="G122">
        <v>2</v>
      </c>
      <c r="H122">
        <v>1</v>
      </c>
      <c r="I122" t="s">
        <v>732</v>
      </c>
      <c r="J122" t="s">
        <v>733</v>
      </c>
    </row>
    <row r="123" spans="1:10" x14ac:dyDescent="0.3">
      <c r="A123" t="s">
        <v>260</v>
      </c>
      <c r="B123" t="s">
        <v>261</v>
      </c>
      <c r="C123" t="s">
        <v>9</v>
      </c>
      <c r="D123" t="s">
        <v>59</v>
      </c>
      <c r="E123" t="s">
        <v>60</v>
      </c>
      <c r="F123">
        <v>2</v>
      </c>
      <c r="G123">
        <v>1</v>
      </c>
      <c r="H123">
        <v>1</v>
      </c>
      <c r="I123" t="s">
        <v>734</v>
      </c>
      <c r="J123" t="s">
        <v>735</v>
      </c>
    </row>
    <row r="124" spans="1:10" x14ac:dyDescent="0.3">
      <c r="A124" t="s">
        <v>262</v>
      </c>
      <c r="B124" t="s">
        <v>263</v>
      </c>
      <c r="C124" t="s">
        <v>9</v>
      </c>
      <c r="D124" t="s">
        <v>69</v>
      </c>
      <c r="E124" t="s">
        <v>70</v>
      </c>
      <c r="F124">
        <v>2</v>
      </c>
      <c r="G124">
        <v>1</v>
      </c>
      <c r="H124">
        <v>1</v>
      </c>
      <c r="I124" t="s">
        <v>728</v>
      </c>
      <c r="J124" t="s">
        <v>759</v>
      </c>
    </row>
    <row r="125" spans="1:10" x14ac:dyDescent="0.3">
      <c r="A125" t="s">
        <v>264</v>
      </c>
      <c r="B125" t="s">
        <v>265</v>
      </c>
      <c r="C125" t="s">
        <v>9</v>
      </c>
      <c r="D125" t="s">
        <v>7</v>
      </c>
      <c r="E125" t="s">
        <v>760</v>
      </c>
      <c r="F125">
        <v>1</v>
      </c>
      <c r="G125">
        <v>0.6</v>
      </c>
      <c r="H125">
        <v>0.6</v>
      </c>
      <c r="I125" t="s">
        <v>732</v>
      </c>
      <c r="J125" t="s">
        <v>738</v>
      </c>
    </row>
    <row r="126" spans="1:10" x14ac:dyDescent="0.3">
      <c r="A126" t="s">
        <v>264</v>
      </c>
      <c r="B126" t="s">
        <v>265</v>
      </c>
      <c r="C126" t="s">
        <v>9</v>
      </c>
      <c r="D126" t="s">
        <v>89</v>
      </c>
      <c r="E126" t="s">
        <v>761</v>
      </c>
      <c r="F126">
        <v>1</v>
      </c>
      <c r="G126">
        <v>0.1</v>
      </c>
      <c r="H126">
        <v>0.1</v>
      </c>
      <c r="I126" t="s">
        <v>732</v>
      </c>
      <c r="J126" t="s">
        <v>738</v>
      </c>
    </row>
    <row r="127" spans="1:10" x14ac:dyDescent="0.3">
      <c r="A127" t="s">
        <v>264</v>
      </c>
      <c r="B127" t="s">
        <v>265</v>
      </c>
      <c r="C127" t="s">
        <v>9</v>
      </c>
      <c r="D127" t="s">
        <v>83</v>
      </c>
      <c r="E127" t="s">
        <v>84</v>
      </c>
      <c r="F127">
        <v>1</v>
      </c>
      <c r="G127">
        <v>0.3</v>
      </c>
      <c r="H127">
        <v>0.3</v>
      </c>
      <c r="I127" t="s">
        <v>732</v>
      </c>
      <c r="J127" t="s">
        <v>738</v>
      </c>
    </row>
    <row r="128" spans="1:10" x14ac:dyDescent="0.3">
      <c r="A128" t="s">
        <v>266</v>
      </c>
      <c r="B128" t="s">
        <v>267</v>
      </c>
      <c r="C128" t="s">
        <v>9</v>
      </c>
      <c r="D128" t="s">
        <v>61</v>
      </c>
      <c r="E128" t="s">
        <v>762</v>
      </c>
      <c r="F128">
        <v>3</v>
      </c>
      <c r="G128">
        <v>0.8</v>
      </c>
      <c r="H128">
        <v>0.8</v>
      </c>
      <c r="I128" t="s">
        <v>732</v>
      </c>
      <c r="J128" t="s">
        <v>763</v>
      </c>
    </row>
    <row r="129" spans="1:10" x14ac:dyDescent="0.3">
      <c r="A129" t="s">
        <v>266</v>
      </c>
      <c r="B129" t="s">
        <v>267</v>
      </c>
      <c r="C129" t="s">
        <v>9</v>
      </c>
      <c r="D129" t="s">
        <v>89</v>
      </c>
      <c r="E129" t="s">
        <v>761</v>
      </c>
      <c r="F129">
        <v>4</v>
      </c>
      <c r="G129">
        <v>0.2</v>
      </c>
      <c r="H129">
        <v>0.2</v>
      </c>
      <c r="I129" t="s">
        <v>732</v>
      </c>
      <c r="J129" t="s">
        <v>763</v>
      </c>
    </row>
    <row r="130" spans="1:10" x14ac:dyDescent="0.3">
      <c r="A130" t="s">
        <v>268</v>
      </c>
      <c r="B130" t="s">
        <v>269</v>
      </c>
      <c r="C130" t="s">
        <v>9</v>
      </c>
      <c r="D130" t="s">
        <v>61</v>
      </c>
      <c r="E130" t="s">
        <v>762</v>
      </c>
      <c r="F130">
        <v>1</v>
      </c>
      <c r="G130">
        <v>0.8</v>
      </c>
      <c r="H130">
        <v>0.8</v>
      </c>
      <c r="I130" t="s">
        <v>732</v>
      </c>
      <c r="J130" t="s">
        <v>752</v>
      </c>
    </row>
    <row r="131" spans="1:10" x14ac:dyDescent="0.3">
      <c r="A131" t="s">
        <v>268</v>
      </c>
      <c r="B131" t="s">
        <v>269</v>
      </c>
      <c r="C131" t="s">
        <v>9</v>
      </c>
      <c r="D131" t="s">
        <v>89</v>
      </c>
      <c r="E131" t="s">
        <v>761</v>
      </c>
      <c r="F131">
        <v>1</v>
      </c>
      <c r="G131">
        <v>0.2</v>
      </c>
      <c r="H131">
        <v>0.2</v>
      </c>
      <c r="I131" t="s">
        <v>732</v>
      </c>
      <c r="J131" t="s">
        <v>752</v>
      </c>
    </row>
    <row r="132" spans="1:10" x14ac:dyDescent="0.3">
      <c r="A132" t="s">
        <v>270</v>
      </c>
      <c r="B132" t="s">
        <v>271</v>
      </c>
      <c r="C132" t="s">
        <v>9</v>
      </c>
      <c r="D132" s="5" t="s">
        <v>77</v>
      </c>
      <c r="E132" s="5" t="s">
        <v>78</v>
      </c>
      <c r="F132">
        <v>1</v>
      </c>
      <c r="G132">
        <v>0.5</v>
      </c>
      <c r="H132">
        <v>0.5</v>
      </c>
      <c r="I132" t="s">
        <v>728</v>
      </c>
      <c r="J132" t="s">
        <v>759</v>
      </c>
    </row>
    <row r="133" spans="1:10" x14ac:dyDescent="0.3">
      <c r="A133" t="s">
        <v>270</v>
      </c>
      <c r="B133" t="s">
        <v>271</v>
      </c>
      <c r="C133" t="s">
        <v>9</v>
      </c>
      <c r="D133" s="5" t="s">
        <v>69</v>
      </c>
      <c r="E133" s="5" t="s">
        <v>70</v>
      </c>
      <c r="F133">
        <v>1</v>
      </c>
      <c r="G133">
        <v>0.5</v>
      </c>
      <c r="H133">
        <v>0.5</v>
      </c>
      <c r="I133" t="s">
        <v>728</v>
      </c>
      <c r="J133" t="s">
        <v>759</v>
      </c>
    </row>
    <row r="134" spans="1:10" x14ac:dyDescent="0.3">
      <c r="A134" t="s">
        <v>272</v>
      </c>
      <c r="B134" t="s">
        <v>273</v>
      </c>
      <c r="C134" t="s">
        <v>9</v>
      </c>
      <c r="D134" s="5" t="s">
        <v>77</v>
      </c>
      <c r="E134" s="5" t="s">
        <v>78</v>
      </c>
      <c r="F134">
        <v>2</v>
      </c>
      <c r="G134">
        <v>1</v>
      </c>
      <c r="H134">
        <v>1</v>
      </c>
      <c r="I134" t="s">
        <v>728</v>
      </c>
      <c r="J134" t="s">
        <v>759</v>
      </c>
    </row>
    <row r="135" spans="1:10" x14ac:dyDescent="0.3">
      <c r="A135" t="s">
        <v>274</v>
      </c>
      <c r="B135" t="s">
        <v>275</v>
      </c>
      <c r="C135" t="s">
        <v>9</v>
      </c>
      <c r="D135" t="s">
        <v>65</v>
      </c>
      <c r="E135" t="s">
        <v>66</v>
      </c>
      <c r="F135">
        <v>2</v>
      </c>
      <c r="G135">
        <v>1</v>
      </c>
      <c r="H135">
        <v>1</v>
      </c>
      <c r="I135" t="s">
        <v>734</v>
      </c>
      <c r="J135" t="s">
        <v>735</v>
      </c>
    </row>
    <row r="136" spans="1:10" x14ac:dyDescent="0.3">
      <c r="A136" t="s">
        <v>276</v>
      </c>
      <c r="B136" t="s">
        <v>277</v>
      </c>
      <c r="C136" t="s">
        <v>9</v>
      </c>
      <c r="D136" s="5" t="s">
        <v>73</v>
      </c>
      <c r="E136" s="5" t="s">
        <v>74</v>
      </c>
      <c r="F136">
        <v>2</v>
      </c>
      <c r="G136">
        <v>0.5</v>
      </c>
      <c r="H136">
        <v>0.5</v>
      </c>
      <c r="I136" t="s">
        <v>728</v>
      </c>
      <c r="J136" t="s">
        <v>759</v>
      </c>
    </row>
    <row r="137" spans="1:10" x14ac:dyDescent="0.3">
      <c r="A137" t="s">
        <v>276</v>
      </c>
      <c r="B137" t="s">
        <v>277</v>
      </c>
      <c r="C137" t="s">
        <v>9</v>
      </c>
      <c r="D137" s="5" t="s">
        <v>81</v>
      </c>
      <c r="E137" s="5" t="s">
        <v>82</v>
      </c>
      <c r="F137">
        <v>2</v>
      </c>
      <c r="G137">
        <v>0.5</v>
      </c>
      <c r="H137">
        <v>0.5</v>
      </c>
      <c r="I137" t="s">
        <v>728</v>
      </c>
      <c r="J137" t="s">
        <v>759</v>
      </c>
    </row>
    <row r="138" spans="1:10" x14ac:dyDescent="0.3">
      <c r="A138" t="s">
        <v>278</v>
      </c>
      <c r="B138" t="s">
        <v>279</v>
      </c>
      <c r="C138" t="s">
        <v>9</v>
      </c>
      <c r="F138">
        <v>2</v>
      </c>
      <c r="G138">
        <v>1</v>
      </c>
      <c r="H138">
        <v>1</v>
      </c>
      <c r="I138" t="s">
        <v>728</v>
      </c>
      <c r="J138" t="s">
        <v>759</v>
      </c>
    </row>
    <row r="139" spans="1:10" x14ac:dyDescent="0.3">
      <c r="A139" t="s">
        <v>280</v>
      </c>
      <c r="B139" t="s">
        <v>281</v>
      </c>
      <c r="C139" t="s">
        <v>9</v>
      </c>
      <c r="F139">
        <v>2</v>
      </c>
      <c r="G139">
        <v>1</v>
      </c>
      <c r="H139">
        <v>1</v>
      </c>
      <c r="I139" t="s">
        <v>728</v>
      </c>
      <c r="J139" t="s">
        <v>759</v>
      </c>
    </row>
    <row r="140" spans="1:10" x14ac:dyDescent="0.3">
      <c r="A140" t="s">
        <v>282</v>
      </c>
      <c r="B140" t="s">
        <v>283</v>
      </c>
      <c r="C140" t="s">
        <v>9</v>
      </c>
      <c r="F140">
        <v>2</v>
      </c>
      <c r="G140">
        <v>1</v>
      </c>
      <c r="H140">
        <v>1</v>
      </c>
      <c r="I140" t="s">
        <v>728</v>
      </c>
      <c r="J140" t="s">
        <v>759</v>
      </c>
    </row>
    <row r="141" spans="1:10" x14ac:dyDescent="0.3">
      <c r="A141" t="s">
        <v>284</v>
      </c>
      <c r="B141" t="s">
        <v>285</v>
      </c>
      <c r="C141" t="s">
        <v>9</v>
      </c>
      <c r="D141" t="s">
        <v>67</v>
      </c>
      <c r="E141" t="s">
        <v>764</v>
      </c>
      <c r="F141">
        <v>2</v>
      </c>
      <c r="G141">
        <v>2</v>
      </c>
      <c r="H141">
        <v>0.66666666666666663</v>
      </c>
      <c r="I141" t="s">
        <v>732</v>
      </c>
      <c r="J141" t="s">
        <v>738</v>
      </c>
    </row>
    <row r="142" spans="1:10" x14ac:dyDescent="0.3">
      <c r="A142" t="s">
        <v>284</v>
      </c>
      <c r="B142" t="s">
        <v>285</v>
      </c>
      <c r="C142" t="s">
        <v>9</v>
      </c>
      <c r="D142" t="s">
        <v>489</v>
      </c>
      <c r="E142" t="s">
        <v>490</v>
      </c>
      <c r="F142">
        <v>1</v>
      </c>
      <c r="G142">
        <v>1</v>
      </c>
      <c r="H142">
        <v>0.33333333333333331</v>
      </c>
      <c r="I142" t="s">
        <v>732</v>
      </c>
      <c r="J142" t="s">
        <v>738</v>
      </c>
    </row>
    <row r="143" spans="1:10" x14ac:dyDescent="0.3">
      <c r="A143" t="s">
        <v>286</v>
      </c>
      <c r="B143" t="s">
        <v>287</v>
      </c>
      <c r="C143" t="s">
        <v>9</v>
      </c>
      <c r="D143" t="s">
        <v>67</v>
      </c>
      <c r="E143" t="s">
        <v>764</v>
      </c>
      <c r="F143">
        <v>2</v>
      </c>
      <c r="G143">
        <v>2</v>
      </c>
      <c r="H143">
        <v>0.66666666666666663</v>
      </c>
      <c r="I143" t="s">
        <v>732</v>
      </c>
      <c r="J143" t="s">
        <v>738</v>
      </c>
    </row>
    <row r="144" spans="1:10" x14ac:dyDescent="0.3">
      <c r="A144" t="s">
        <v>286</v>
      </c>
      <c r="B144" t="s">
        <v>287</v>
      </c>
      <c r="C144" t="s">
        <v>9</v>
      </c>
      <c r="D144" t="s">
        <v>489</v>
      </c>
      <c r="E144" t="s">
        <v>490</v>
      </c>
      <c r="F144">
        <v>1</v>
      </c>
      <c r="G144">
        <v>1</v>
      </c>
      <c r="H144">
        <v>0.33333333333333331</v>
      </c>
      <c r="I144" t="s">
        <v>732</v>
      </c>
      <c r="J144" t="s">
        <v>738</v>
      </c>
    </row>
    <row r="145" spans="1:10" x14ac:dyDescent="0.3">
      <c r="A145" t="s">
        <v>288</v>
      </c>
      <c r="B145" t="s">
        <v>289</v>
      </c>
      <c r="C145" t="s">
        <v>9</v>
      </c>
      <c r="D145" t="s">
        <v>71</v>
      </c>
      <c r="E145" t="s">
        <v>72</v>
      </c>
      <c r="F145">
        <v>2</v>
      </c>
      <c r="G145">
        <v>2</v>
      </c>
      <c r="H145">
        <v>0.66666666666666663</v>
      </c>
      <c r="I145" t="s">
        <v>732</v>
      </c>
      <c r="J145" t="s">
        <v>739</v>
      </c>
    </row>
    <row r="146" spans="1:10" x14ac:dyDescent="0.3">
      <c r="A146" t="s">
        <v>288</v>
      </c>
      <c r="B146" t="s">
        <v>289</v>
      </c>
      <c r="C146" t="s">
        <v>9</v>
      </c>
      <c r="D146" t="s">
        <v>83</v>
      </c>
      <c r="E146" t="s">
        <v>84</v>
      </c>
      <c r="F146">
        <v>1</v>
      </c>
      <c r="G146">
        <v>1</v>
      </c>
      <c r="H146">
        <v>0.33333333333333331</v>
      </c>
      <c r="I146" t="s">
        <v>732</v>
      </c>
      <c r="J146" t="s">
        <v>739</v>
      </c>
    </row>
    <row r="147" spans="1:10" x14ac:dyDescent="0.3">
      <c r="A147" t="s">
        <v>290</v>
      </c>
      <c r="B147" t="s">
        <v>291</v>
      </c>
      <c r="C147" t="s">
        <v>9</v>
      </c>
      <c r="E147" t="s">
        <v>765</v>
      </c>
      <c r="F147">
        <v>3</v>
      </c>
      <c r="G147">
        <v>1</v>
      </c>
      <c r="H147">
        <v>1</v>
      </c>
      <c r="I147" t="s">
        <v>728</v>
      </c>
      <c r="J147" t="s">
        <v>729</v>
      </c>
    </row>
    <row r="148" spans="1:10" x14ac:dyDescent="0.3">
      <c r="A148" t="s">
        <v>292</v>
      </c>
      <c r="B148" t="s">
        <v>293</v>
      </c>
      <c r="C148" t="s">
        <v>9</v>
      </c>
      <c r="D148" t="s">
        <v>85</v>
      </c>
      <c r="E148" t="s">
        <v>86</v>
      </c>
      <c r="F148">
        <v>6</v>
      </c>
      <c r="G148">
        <v>5</v>
      </c>
      <c r="H148">
        <v>1</v>
      </c>
      <c r="I148" t="s">
        <v>734</v>
      </c>
      <c r="J148" t="s">
        <v>766</v>
      </c>
    </row>
    <row r="149" spans="1:10" x14ac:dyDescent="0.3">
      <c r="A149" t="s">
        <v>294</v>
      </c>
      <c r="B149" t="s">
        <v>295</v>
      </c>
      <c r="C149" t="s">
        <v>9</v>
      </c>
      <c r="D149" t="s">
        <v>85</v>
      </c>
      <c r="E149" t="s">
        <v>86</v>
      </c>
      <c r="F149">
        <v>30</v>
      </c>
      <c r="G149">
        <v>20</v>
      </c>
      <c r="H149">
        <v>1</v>
      </c>
      <c r="I149" t="s">
        <v>732</v>
      </c>
      <c r="J149" t="s">
        <v>733</v>
      </c>
    </row>
    <row r="150" spans="1:10" x14ac:dyDescent="0.3">
      <c r="A150" t="s">
        <v>296</v>
      </c>
      <c r="B150" t="s">
        <v>297</v>
      </c>
      <c r="C150" t="s">
        <v>9</v>
      </c>
      <c r="D150" t="s">
        <v>85</v>
      </c>
      <c r="E150" t="s">
        <v>86</v>
      </c>
      <c r="F150">
        <v>13</v>
      </c>
      <c r="G150">
        <v>10</v>
      </c>
      <c r="H150">
        <v>1</v>
      </c>
      <c r="I150" t="s">
        <v>734</v>
      </c>
      <c r="J150" t="s">
        <v>767</v>
      </c>
    </row>
    <row r="151" spans="1:10" x14ac:dyDescent="0.3">
      <c r="A151" t="s">
        <v>298</v>
      </c>
      <c r="B151" t="s">
        <v>299</v>
      </c>
      <c r="C151" t="s">
        <v>9</v>
      </c>
      <c r="D151" t="s">
        <v>87</v>
      </c>
      <c r="E151" t="s">
        <v>768</v>
      </c>
      <c r="F151">
        <v>30</v>
      </c>
      <c r="G151">
        <v>20</v>
      </c>
      <c r="H151">
        <v>1</v>
      </c>
      <c r="I151" t="s">
        <v>732</v>
      </c>
      <c r="J151" t="s">
        <v>733</v>
      </c>
    </row>
    <row r="152" spans="1:10" x14ac:dyDescent="0.3">
      <c r="A152" t="s">
        <v>300</v>
      </c>
      <c r="B152" t="s">
        <v>301</v>
      </c>
      <c r="C152" t="s">
        <v>9</v>
      </c>
      <c r="F152">
        <v>6</v>
      </c>
      <c r="G152">
        <v>5</v>
      </c>
      <c r="H152">
        <v>1</v>
      </c>
      <c r="I152" t="s">
        <v>728</v>
      </c>
      <c r="J152" t="s">
        <v>730</v>
      </c>
    </row>
    <row r="153" spans="1:10" x14ac:dyDescent="0.3">
      <c r="A153" t="s">
        <v>302</v>
      </c>
      <c r="B153" t="s">
        <v>303</v>
      </c>
      <c r="C153" t="s">
        <v>9</v>
      </c>
      <c r="F153">
        <v>4</v>
      </c>
      <c r="G153">
        <v>3</v>
      </c>
      <c r="H153">
        <v>1</v>
      </c>
      <c r="I153" t="s">
        <v>728</v>
      </c>
      <c r="J153" t="s">
        <v>730</v>
      </c>
    </row>
    <row r="154" spans="1:10" x14ac:dyDescent="0.3">
      <c r="A154" t="s">
        <v>304</v>
      </c>
      <c r="B154" t="s">
        <v>305</v>
      </c>
      <c r="C154" t="s">
        <v>9</v>
      </c>
      <c r="D154" t="s">
        <v>89</v>
      </c>
      <c r="E154" t="s">
        <v>761</v>
      </c>
      <c r="F154">
        <v>40</v>
      </c>
      <c r="G154">
        <v>20</v>
      </c>
      <c r="H154">
        <v>1</v>
      </c>
      <c r="I154" t="s">
        <v>732</v>
      </c>
      <c r="J154" t="s">
        <v>733</v>
      </c>
    </row>
    <row r="155" spans="1:10" x14ac:dyDescent="0.3">
      <c r="A155" t="s">
        <v>306</v>
      </c>
      <c r="B155" t="s">
        <v>307</v>
      </c>
      <c r="C155" t="s">
        <v>9</v>
      </c>
      <c r="F155">
        <v>15</v>
      </c>
      <c r="G155">
        <v>10</v>
      </c>
      <c r="H155">
        <v>1</v>
      </c>
      <c r="I155" t="s">
        <v>728</v>
      </c>
      <c r="J155" t="s">
        <v>730</v>
      </c>
    </row>
    <row r="156" spans="1:10" x14ac:dyDescent="0.3">
      <c r="A156" t="s">
        <v>308</v>
      </c>
      <c r="B156" t="s">
        <v>309</v>
      </c>
      <c r="C156" t="s">
        <v>9</v>
      </c>
      <c r="F156">
        <v>13</v>
      </c>
      <c r="G156">
        <v>10</v>
      </c>
      <c r="H156">
        <v>1</v>
      </c>
      <c r="I156" t="s">
        <v>728</v>
      </c>
      <c r="J156" t="s">
        <v>730</v>
      </c>
    </row>
    <row r="157" spans="1:10" x14ac:dyDescent="0.3">
      <c r="A157" t="s">
        <v>310</v>
      </c>
      <c r="B157" t="s">
        <v>311</v>
      </c>
      <c r="C157" t="s">
        <v>9</v>
      </c>
      <c r="D157" t="s">
        <v>97</v>
      </c>
      <c r="E157" t="s">
        <v>769</v>
      </c>
      <c r="F157">
        <v>1</v>
      </c>
      <c r="G157">
        <v>1</v>
      </c>
      <c r="H157">
        <v>0.2</v>
      </c>
      <c r="I157" t="s">
        <v>732</v>
      </c>
      <c r="J157" t="s">
        <v>752</v>
      </c>
    </row>
    <row r="158" spans="1:10" x14ac:dyDescent="0.3">
      <c r="A158" t="s">
        <v>310</v>
      </c>
      <c r="B158" t="s">
        <v>311</v>
      </c>
      <c r="C158" t="s">
        <v>9</v>
      </c>
      <c r="D158" t="s">
        <v>85</v>
      </c>
      <c r="E158" t="s">
        <v>86</v>
      </c>
      <c r="F158">
        <v>1</v>
      </c>
      <c r="G158">
        <v>1</v>
      </c>
      <c r="H158">
        <v>0.2</v>
      </c>
      <c r="I158" t="s">
        <v>732</v>
      </c>
      <c r="J158" t="s">
        <v>752</v>
      </c>
    </row>
    <row r="159" spans="1:10" x14ac:dyDescent="0.3">
      <c r="A159" t="s">
        <v>310</v>
      </c>
      <c r="B159" t="s">
        <v>311</v>
      </c>
      <c r="C159" t="s">
        <v>9</v>
      </c>
      <c r="D159" t="s">
        <v>89</v>
      </c>
      <c r="E159" t="s">
        <v>761</v>
      </c>
      <c r="F159">
        <v>1</v>
      </c>
      <c r="G159">
        <v>1</v>
      </c>
      <c r="H159">
        <v>0.2</v>
      </c>
      <c r="I159" t="s">
        <v>732</v>
      </c>
      <c r="J159" t="s">
        <v>752</v>
      </c>
    </row>
    <row r="160" spans="1:10" x14ac:dyDescent="0.3">
      <c r="A160" t="s">
        <v>310</v>
      </c>
      <c r="B160" t="s">
        <v>311</v>
      </c>
      <c r="C160" t="s">
        <v>9</v>
      </c>
      <c r="D160" t="s">
        <v>87</v>
      </c>
      <c r="E160" t="s">
        <v>768</v>
      </c>
      <c r="F160">
        <v>1</v>
      </c>
      <c r="G160">
        <v>1</v>
      </c>
      <c r="H160">
        <v>0.2</v>
      </c>
      <c r="I160" t="s">
        <v>732</v>
      </c>
      <c r="J160" t="s">
        <v>752</v>
      </c>
    </row>
    <row r="161" spans="1:10" x14ac:dyDescent="0.3">
      <c r="A161" t="s">
        <v>310</v>
      </c>
      <c r="B161" t="s">
        <v>311</v>
      </c>
      <c r="C161" t="s">
        <v>9</v>
      </c>
      <c r="D161" t="s">
        <v>390</v>
      </c>
      <c r="E161" t="s">
        <v>770</v>
      </c>
      <c r="F161">
        <v>1</v>
      </c>
      <c r="G161">
        <v>1</v>
      </c>
      <c r="H161">
        <v>0.2</v>
      </c>
      <c r="I161" t="s">
        <v>732</v>
      </c>
      <c r="J161" t="s">
        <v>752</v>
      </c>
    </row>
    <row r="162" spans="1:10" x14ac:dyDescent="0.3">
      <c r="A162" t="s">
        <v>312</v>
      </c>
      <c r="B162" t="s">
        <v>313</v>
      </c>
      <c r="C162" t="s">
        <v>9</v>
      </c>
      <c r="D162" t="s">
        <v>95</v>
      </c>
      <c r="E162" t="s">
        <v>771</v>
      </c>
      <c r="F162">
        <v>1</v>
      </c>
      <c r="G162">
        <v>1</v>
      </c>
      <c r="H162">
        <v>0.5</v>
      </c>
      <c r="I162" t="s">
        <v>732</v>
      </c>
      <c r="J162" t="s">
        <v>738</v>
      </c>
    </row>
    <row r="163" spans="1:10" x14ac:dyDescent="0.3">
      <c r="A163" t="s">
        <v>312</v>
      </c>
      <c r="B163" t="s">
        <v>313</v>
      </c>
      <c r="C163" t="s">
        <v>9</v>
      </c>
      <c r="D163" t="s">
        <v>91</v>
      </c>
      <c r="E163" t="s">
        <v>772</v>
      </c>
      <c r="F163">
        <v>1</v>
      </c>
      <c r="G163">
        <v>1</v>
      </c>
      <c r="H163">
        <v>0.5</v>
      </c>
      <c r="I163" t="s">
        <v>732</v>
      </c>
      <c r="J163" t="s">
        <v>738</v>
      </c>
    </row>
    <row r="164" spans="1:10" x14ac:dyDescent="0.3">
      <c r="A164" t="s">
        <v>314</v>
      </c>
      <c r="B164" t="s">
        <v>315</v>
      </c>
      <c r="C164" t="s">
        <v>9</v>
      </c>
      <c r="D164" t="s">
        <v>95</v>
      </c>
      <c r="E164" t="s">
        <v>771</v>
      </c>
      <c r="F164">
        <v>1</v>
      </c>
      <c r="G164">
        <v>1</v>
      </c>
      <c r="H164">
        <v>0.5</v>
      </c>
      <c r="I164" t="s">
        <v>732</v>
      </c>
      <c r="J164" t="s">
        <v>738</v>
      </c>
    </row>
    <row r="165" spans="1:10" x14ac:dyDescent="0.3">
      <c r="A165" t="s">
        <v>314</v>
      </c>
      <c r="B165" t="s">
        <v>315</v>
      </c>
      <c r="C165" t="s">
        <v>9</v>
      </c>
      <c r="D165" t="s">
        <v>91</v>
      </c>
      <c r="E165" t="s">
        <v>772</v>
      </c>
      <c r="F165">
        <v>1</v>
      </c>
      <c r="G165">
        <v>1</v>
      </c>
      <c r="H165">
        <v>0.5</v>
      </c>
      <c r="I165" t="s">
        <v>732</v>
      </c>
      <c r="J165" t="s">
        <v>738</v>
      </c>
    </row>
    <row r="166" spans="1:10" x14ac:dyDescent="0.3">
      <c r="A166" t="s">
        <v>321</v>
      </c>
      <c r="B166" t="s">
        <v>322</v>
      </c>
      <c r="C166" t="s">
        <v>318</v>
      </c>
      <c r="D166" t="s">
        <v>323</v>
      </c>
      <c r="E166" t="s">
        <v>324</v>
      </c>
      <c r="F166">
        <v>2</v>
      </c>
      <c r="G166">
        <v>1</v>
      </c>
      <c r="H166">
        <v>1</v>
      </c>
      <c r="I166" t="s">
        <v>734</v>
      </c>
      <c r="J166" t="s">
        <v>743</v>
      </c>
    </row>
    <row r="167" spans="1:10" x14ac:dyDescent="0.3">
      <c r="A167" t="s">
        <v>325</v>
      </c>
      <c r="B167" t="s">
        <v>326</v>
      </c>
      <c r="C167" t="s">
        <v>318</v>
      </c>
      <c r="D167" t="s">
        <v>349</v>
      </c>
      <c r="E167" t="s">
        <v>350</v>
      </c>
      <c r="F167">
        <v>2</v>
      </c>
      <c r="G167">
        <v>1</v>
      </c>
      <c r="H167">
        <v>1</v>
      </c>
      <c r="I167" t="s">
        <v>732</v>
      </c>
      <c r="J167" t="s">
        <v>733</v>
      </c>
    </row>
    <row r="168" spans="1:10" x14ac:dyDescent="0.3">
      <c r="A168" t="s">
        <v>357</v>
      </c>
      <c r="B168" t="s">
        <v>358</v>
      </c>
      <c r="C168" t="s">
        <v>359</v>
      </c>
      <c r="D168" t="s">
        <v>376</v>
      </c>
      <c r="E168" t="s">
        <v>377</v>
      </c>
      <c r="F168">
        <v>2</v>
      </c>
      <c r="G168">
        <v>1</v>
      </c>
      <c r="H168">
        <v>1</v>
      </c>
      <c r="I168" t="s">
        <v>734</v>
      </c>
      <c r="J168" t="s">
        <v>773</v>
      </c>
    </row>
    <row r="169" spans="1:10" x14ac:dyDescent="0.3">
      <c r="A169" t="s">
        <v>362</v>
      </c>
      <c r="B169" t="s">
        <v>363</v>
      </c>
      <c r="C169" t="s">
        <v>359</v>
      </c>
      <c r="E169" t="s">
        <v>774</v>
      </c>
      <c r="F169">
        <v>1</v>
      </c>
      <c r="G169">
        <v>1</v>
      </c>
      <c r="H169">
        <v>1</v>
      </c>
      <c r="I169" t="s">
        <v>728</v>
      </c>
      <c r="J169" t="s">
        <v>729</v>
      </c>
    </row>
    <row r="170" spans="1:10" x14ac:dyDescent="0.3">
      <c r="A170" t="s">
        <v>364</v>
      </c>
      <c r="B170" t="s">
        <v>365</v>
      </c>
      <c r="C170" t="s">
        <v>359</v>
      </c>
      <c r="E170" t="s">
        <v>775</v>
      </c>
      <c r="F170">
        <v>1</v>
      </c>
      <c r="G170">
        <v>1</v>
      </c>
      <c r="H170">
        <v>1</v>
      </c>
      <c r="I170" t="s">
        <v>728</v>
      </c>
      <c r="J170" t="s">
        <v>729</v>
      </c>
    </row>
    <row r="171" spans="1:10" x14ac:dyDescent="0.3">
      <c r="A171" t="s">
        <v>366</v>
      </c>
      <c r="B171" t="s">
        <v>367</v>
      </c>
      <c r="C171" t="s">
        <v>359</v>
      </c>
      <c r="E171" t="s">
        <v>776</v>
      </c>
      <c r="F171">
        <v>1</v>
      </c>
      <c r="G171">
        <v>1</v>
      </c>
      <c r="H171">
        <v>1</v>
      </c>
      <c r="I171" t="s">
        <v>728</v>
      </c>
      <c r="J171" t="s">
        <v>729</v>
      </c>
    </row>
    <row r="172" spans="1:10" x14ac:dyDescent="0.3">
      <c r="A172" t="s">
        <v>368</v>
      </c>
      <c r="B172" t="s">
        <v>369</v>
      </c>
      <c r="C172" t="s">
        <v>359</v>
      </c>
      <c r="E172" t="s">
        <v>775</v>
      </c>
      <c r="F172">
        <v>1</v>
      </c>
      <c r="G172">
        <v>1</v>
      </c>
      <c r="H172">
        <v>1</v>
      </c>
      <c r="I172" t="s">
        <v>728</v>
      </c>
      <c r="J172" t="s">
        <v>729</v>
      </c>
    </row>
    <row r="173" spans="1:10" x14ac:dyDescent="0.3">
      <c r="A173" t="s">
        <v>370</v>
      </c>
      <c r="B173" t="s">
        <v>371</v>
      </c>
      <c r="C173" t="s">
        <v>359</v>
      </c>
      <c r="E173" t="s">
        <v>776</v>
      </c>
      <c r="F173">
        <v>1</v>
      </c>
      <c r="G173">
        <v>1</v>
      </c>
      <c r="H173">
        <v>1</v>
      </c>
      <c r="I173" t="s">
        <v>728</v>
      </c>
      <c r="J173" t="s">
        <v>729</v>
      </c>
    </row>
    <row r="174" spans="1:10" x14ac:dyDescent="0.3">
      <c r="A174" t="s">
        <v>372</v>
      </c>
      <c r="B174" t="s">
        <v>373</v>
      </c>
      <c r="C174" t="s">
        <v>359</v>
      </c>
      <c r="E174" t="s">
        <v>775</v>
      </c>
      <c r="F174">
        <v>1</v>
      </c>
      <c r="G174">
        <v>1</v>
      </c>
      <c r="H174">
        <v>1</v>
      </c>
      <c r="I174" t="s">
        <v>728</v>
      </c>
      <c r="J174" t="s">
        <v>729</v>
      </c>
    </row>
    <row r="175" spans="1:10" x14ac:dyDescent="0.3">
      <c r="A175" t="s">
        <v>374</v>
      </c>
      <c r="B175" t="s">
        <v>375</v>
      </c>
      <c r="C175" t="s">
        <v>359</v>
      </c>
      <c r="E175" t="s">
        <v>776</v>
      </c>
      <c r="F175">
        <v>1</v>
      </c>
      <c r="G175">
        <v>1</v>
      </c>
      <c r="H175">
        <v>1</v>
      </c>
      <c r="I175" t="s">
        <v>728</v>
      </c>
      <c r="J175" t="s">
        <v>729</v>
      </c>
    </row>
    <row r="176" spans="1:10" x14ac:dyDescent="0.3">
      <c r="A176" t="s">
        <v>382</v>
      </c>
      <c r="B176" t="s">
        <v>383</v>
      </c>
      <c r="C176" t="s">
        <v>359</v>
      </c>
      <c r="E176" t="s">
        <v>747</v>
      </c>
      <c r="F176">
        <v>1</v>
      </c>
      <c r="G176">
        <v>1</v>
      </c>
      <c r="H176">
        <v>1</v>
      </c>
      <c r="I176" t="s">
        <v>728</v>
      </c>
      <c r="J176" t="s">
        <v>729</v>
      </c>
    </row>
    <row r="177" spans="1:10" x14ac:dyDescent="0.3">
      <c r="A177" t="s">
        <v>384</v>
      </c>
      <c r="B177" t="s">
        <v>385</v>
      </c>
      <c r="C177" t="s">
        <v>359</v>
      </c>
      <c r="E177" t="s">
        <v>747</v>
      </c>
      <c r="F177">
        <v>1</v>
      </c>
      <c r="G177">
        <v>1</v>
      </c>
      <c r="H177">
        <v>1</v>
      </c>
      <c r="I177" t="s">
        <v>728</v>
      </c>
      <c r="J177" t="s">
        <v>729</v>
      </c>
    </row>
    <row r="178" spans="1:10" x14ac:dyDescent="0.3">
      <c r="A178" t="s">
        <v>386</v>
      </c>
      <c r="B178" t="s">
        <v>387</v>
      </c>
      <c r="C178" t="s">
        <v>359</v>
      </c>
      <c r="E178" t="s">
        <v>747</v>
      </c>
      <c r="F178">
        <v>1</v>
      </c>
      <c r="G178">
        <v>1</v>
      </c>
      <c r="H178">
        <v>1</v>
      </c>
      <c r="I178" t="s">
        <v>728</v>
      </c>
      <c r="J178" t="s">
        <v>729</v>
      </c>
    </row>
    <row r="179" spans="1:10" x14ac:dyDescent="0.3">
      <c r="A179" t="s">
        <v>406</v>
      </c>
      <c r="B179" t="s">
        <v>407</v>
      </c>
      <c r="C179" t="s">
        <v>359</v>
      </c>
      <c r="F179">
        <v>1</v>
      </c>
      <c r="G179">
        <v>1</v>
      </c>
      <c r="H179">
        <v>1</v>
      </c>
      <c r="I179" t="s">
        <v>728</v>
      </c>
      <c r="J179" t="s">
        <v>730</v>
      </c>
    </row>
    <row r="180" spans="1:10" x14ac:dyDescent="0.3">
      <c r="A180" t="s">
        <v>408</v>
      </c>
      <c r="B180" t="s">
        <v>409</v>
      </c>
      <c r="C180" t="s">
        <v>359</v>
      </c>
      <c r="D180" t="s">
        <v>376</v>
      </c>
      <c r="E180" t="s">
        <v>377</v>
      </c>
      <c r="F180">
        <v>2</v>
      </c>
      <c r="G180">
        <v>2</v>
      </c>
      <c r="H180">
        <v>1</v>
      </c>
      <c r="I180" t="s">
        <v>734</v>
      </c>
      <c r="J180" t="s">
        <v>777</v>
      </c>
    </row>
    <row r="181" spans="1:10" x14ac:dyDescent="0.3">
      <c r="A181" t="s">
        <v>410</v>
      </c>
      <c r="B181" t="s">
        <v>411</v>
      </c>
      <c r="C181" t="s">
        <v>359</v>
      </c>
      <c r="D181" t="s">
        <v>400</v>
      </c>
      <c r="E181" t="s">
        <v>778</v>
      </c>
      <c r="F181">
        <v>1</v>
      </c>
      <c r="G181">
        <v>1</v>
      </c>
      <c r="H181">
        <v>0.5</v>
      </c>
      <c r="I181" t="s">
        <v>732</v>
      </c>
      <c r="J181" t="s">
        <v>738</v>
      </c>
    </row>
    <row r="182" spans="1:10" x14ac:dyDescent="0.3">
      <c r="A182" t="s">
        <v>410</v>
      </c>
      <c r="B182" t="s">
        <v>411</v>
      </c>
      <c r="C182" t="s">
        <v>359</v>
      </c>
      <c r="D182" t="s">
        <v>390</v>
      </c>
      <c r="E182" t="s">
        <v>770</v>
      </c>
      <c r="F182">
        <v>1</v>
      </c>
      <c r="G182">
        <v>1</v>
      </c>
      <c r="H182">
        <v>0.5</v>
      </c>
      <c r="I182" t="s">
        <v>732</v>
      </c>
      <c r="J182" t="s">
        <v>738</v>
      </c>
    </row>
    <row r="183" spans="1:10" x14ac:dyDescent="0.3">
      <c r="A183" t="s">
        <v>412</v>
      </c>
      <c r="B183" t="s">
        <v>413</v>
      </c>
      <c r="C183" t="s">
        <v>359</v>
      </c>
      <c r="D183" t="s">
        <v>402</v>
      </c>
      <c r="E183" t="s">
        <v>779</v>
      </c>
      <c r="F183">
        <v>1</v>
      </c>
      <c r="G183">
        <v>1</v>
      </c>
      <c r="H183">
        <v>0.5</v>
      </c>
      <c r="I183" t="s">
        <v>732</v>
      </c>
      <c r="J183" t="s">
        <v>738</v>
      </c>
    </row>
    <row r="184" spans="1:10" x14ac:dyDescent="0.3">
      <c r="A184" t="s">
        <v>412</v>
      </c>
      <c r="B184" t="s">
        <v>413</v>
      </c>
      <c r="C184" t="s">
        <v>359</v>
      </c>
      <c r="D184" t="s">
        <v>390</v>
      </c>
      <c r="E184" t="s">
        <v>770</v>
      </c>
      <c r="F184">
        <v>1</v>
      </c>
      <c r="G184">
        <v>1</v>
      </c>
      <c r="H184">
        <v>0.5</v>
      </c>
      <c r="I184" t="s">
        <v>732</v>
      </c>
      <c r="J184" t="s">
        <v>738</v>
      </c>
    </row>
    <row r="185" spans="1:10" x14ac:dyDescent="0.3">
      <c r="A185" t="s">
        <v>414</v>
      </c>
      <c r="B185" t="s">
        <v>415</v>
      </c>
      <c r="C185" t="s">
        <v>359</v>
      </c>
      <c r="D185" t="s">
        <v>388</v>
      </c>
      <c r="E185" t="s">
        <v>780</v>
      </c>
      <c r="F185">
        <v>4</v>
      </c>
      <c r="G185">
        <v>1</v>
      </c>
      <c r="H185">
        <v>1</v>
      </c>
      <c r="I185" t="s">
        <v>732</v>
      </c>
      <c r="J185" t="s">
        <v>733</v>
      </c>
    </row>
    <row r="186" spans="1:10" x14ac:dyDescent="0.3">
      <c r="A186" t="s">
        <v>416</v>
      </c>
      <c r="B186" t="s">
        <v>417</v>
      </c>
      <c r="C186" t="s">
        <v>359</v>
      </c>
      <c r="D186" t="s">
        <v>394</v>
      </c>
      <c r="E186" t="s">
        <v>781</v>
      </c>
      <c r="F186">
        <v>3</v>
      </c>
      <c r="G186">
        <v>3</v>
      </c>
      <c r="H186">
        <v>0.3</v>
      </c>
      <c r="I186" t="s">
        <v>732</v>
      </c>
      <c r="J186" t="s">
        <v>739</v>
      </c>
    </row>
    <row r="187" spans="1:10" x14ac:dyDescent="0.3">
      <c r="A187" t="s">
        <v>416</v>
      </c>
      <c r="B187" t="s">
        <v>417</v>
      </c>
      <c r="C187" t="s">
        <v>359</v>
      </c>
      <c r="D187" t="s">
        <v>388</v>
      </c>
      <c r="E187" t="s">
        <v>780</v>
      </c>
      <c r="F187">
        <v>3</v>
      </c>
      <c r="G187">
        <v>3</v>
      </c>
      <c r="H187">
        <v>0.3</v>
      </c>
      <c r="I187" t="s">
        <v>732</v>
      </c>
      <c r="J187" t="s">
        <v>739</v>
      </c>
    </row>
    <row r="188" spans="1:10" x14ac:dyDescent="0.3">
      <c r="A188" t="s">
        <v>416</v>
      </c>
      <c r="B188" t="s">
        <v>417</v>
      </c>
      <c r="C188" t="s">
        <v>359</v>
      </c>
      <c r="D188" t="s">
        <v>394</v>
      </c>
      <c r="E188" t="s">
        <v>781</v>
      </c>
      <c r="F188">
        <v>4</v>
      </c>
      <c r="G188">
        <v>4</v>
      </c>
      <c r="H188">
        <v>0.4</v>
      </c>
      <c r="I188" t="s">
        <v>732</v>
      </c>
      <c r="J188" t="s">
        <v>739</v>
      </c>
    </row>
    <row r="189" spans="1:10" x14ac:dyDescent="0.3">
      <c r="A189" t="s">
        <v>418</v>
      </c>
      <c r="B189" t="s">
        <v>419</v>
      </c>
      <c r="C189" t="s">
        <v>359</v>
      </c>
      <c r="D189" t="s">
        <v>394</v>
      </c>
      <c r="E189" t="s">
        <v>781</v>
      </c>
      <c r="F189">
        <v>1</v>
      </c>
      <c r="G189">
        <v>1</v>
      </c>
      <c r="H189">
        <v>0.5</v>
      </c>
      <c r="I189" t="s">
        <v>732</v>
      </c>
      <c r="J189" t="s">
        <v>738</v>
      </c>
    </row>
    <row r="190" spans="1:10" x14ac:dyDescent="0.3">
      <c r="A190" t="s">
        <v>418</v>
      </c>
      <c r="B190" t="s">
        <v>419</v>
      </c>
      <c r="C190" t="s">
        <v>359</v>
      </c>
      <c r="D190" t="s">
        <v>388</v>
      </c>
      <c r="E190" t="s">
        <v>780</v>
      </c>
      <c r="F190">
        <v>1</v>
      </c>
      <c r="G190">
        <v>1</v>
      </c>
      <c r="H190">
        <v>0.5</v>
      </c>
      <c r="I190" t="s">
        <v>732</v>
      </c>
      <c r="J190" t="s">
        <v>738</v>
      </c>
    </row>
    <row r="191" spans="1:10" x14ac:dyDescent="0.3">
      <c r="A191" t="s">
        <v>420</v>
      </c>
      <c r="B191" t="s">
        <v>421</v>
      </c>
      <c r="C191" t="s">
        <v>359</v>
      </c>
      <c r="D191" t="s">
        <v>390</v>
      </c>
      <c r="E191" t="s">
        <v>770</v>
      </c>
      <c r="F191">
        <v>1</v>
      </c>
      <c r="G191">
        <v>1</v>
      </c>
      <c r="H191">
        <v>1</v>
      </c>
      <c r="I191" t="s">
        <v>732</v>
      </c>
      <c r="J191" t="s">
        <v>733</v>
      </c>
    </row>
    <row r="192" spans="1:10" x14ac:dyDescent="0.3">
      <c r="A192" t="s">
        <v>422</v>
      </c>
      <c r="B192" t="s">
        <v>423</v>
      </c>
      <c r="C192" t="s">
        <v>359</v>
      </c>
      <c r="E192" t="s">
        <v>782</v>
      </c>
      <c r="F192">
        <v>3</v>
      </c>
      <c r="G192">
        <v>1</v>
      </c>
      <c r="H192">
        <v>1</v>
      </c>
      <c r="I192" t="s">
        <v>728</v>
      </c>
      <c r="J192" t="s">
        <v>729</v>
      </c>
    </row>
    <row r="193" spans="1:10" x14ac:dyDescent="0.3">
      <c r="A193" t="s">
        <v>424</v>
      </c>
      <c r="B193" t="s">
        <v>425</v>
      </c>
      <c r="C193" t="s">
        <v>359</v>
      </c>
      <c r="D193" t="s">
        <v>390</v>
      </c>
      <c r="E193" t="s">
        <v>770</v>
      </c>
      <c r="F193">
        <v>2</v>
      </c>
      <c r="G193">
        <v>1</v>
      </c>
      <c r="H193">
        <v>1</v>
      </c>
      <c r="I193" t="s">
        <v>732</v>
      </c>
      <c r="J193" t="s">
        <v>733</v>
      </c>
    </row>
    <row r="194" spans="1:10" x14ac:dyDescent="0.3">
      <c r="A194" t="s">
        <v>428</v>
      </c>
      <c r="B194" t="s">
        <v>429</v>
      </c>
      <c r="C194" t="s">
        <v>359</v>
      </c>
      <c r="D194" t="s">
        <v>392</v>
      </c>
      <c r="E194" t="s">
        <v>393</v>
      </c>
      <c r="F194">
        <v>4</v>
      </c>
      <c r="G194">
        <v>1</v>
      </c>
      <c r="H194">
        <v>1</v>
      </c>
      <c r="I194" t="s">
        <v>734</v>
      </c>
      <c r="J194" t="s">
        <v>783</v>
      </c>
    </row>
    <row r="195" spans="1:10" x14ac:dyDescent="0.3">
      <c r="A195" t="s">
        <v>430</v>
      </c>
      <c r="B195" t="s">
        <v>431</v>
      </c>
      <c r="C195" t="s">
        <v>359</v>
      </c>
      <c r="D195" t="s">
        <v>392</v>
      </c>
      <c r="E195" t="s">
        <v>784</v>
      </c>
      <c r="F195">
        <v>3</v>
      </c>
      <c r="G195">
        <v>1</v>
      </c>
      <c r="H195">
        <v>1</v>
      </c>
      <c r="I195" t="s">
        <v>732</v>
      </c>
      <c r="J195" t="s">
        <v>733</v>
      </c>
    </row>
    <row r="196" spans="1:10" x14ac:dyDescent="0.3">
      <c r="A196" t="s">
        <v>432</v>
      </c>
      <c r="B196" t="s">
        <v>433</v>
      </c>
      <c r="C196" t="s">
        <v>359</v>
      </c>
      <c r="D196" t="s">
        <v>392</v>
      </c>
      <c r="E196" t="s">
        <v>784</v>
      </c>
      <c r="F196">
        <v>2</v>
      </c>
      <c r="G196">
        <v>1</v>
      </c>
      <c r="H196">
        <v>1</v>
      </c>
      <c r="I196" t="s">
        <v>732</v>
      </c>
      <c r="J196" t="s">
        <v>733</v>
      </c>
    </row>
    <row r="197" spans="1:10" x14ac:dyDescent="0.3">
      <c r="A197" t="s">
        <v>434</v>
      </c>
      <c r="B197" t="s">
        <v>435</v>
      </c>
      <c r="C197" t="s">
        <v>359</v>
      </c>
      <c r="D197" t="s">
        <v>392</v>
      </c>
      <c r="E197" t="s">
        <v>784</v>
      </c>
      <c r="F197">
        <v>1</v>
      </c>
      <c r="G197">
        <v>1</v>
      </c>
      <c r="H197">
        <v>0.5</v>
      </c>
      <c r="I197" t="s">
        <v>732</v>
      </c>
      <c r="J197" t="s">
        <v>738</v>
      </c>
    </row>
    <row r="198" spans="1:10" x14ac:dyDescent="0.3">
      <c r="A198" t="s">
        <v>434</v>
      </c>
      <c r="B198" t="s">
        <v>435</v>
      </c>
      <c r="C198" t="s">
        <v>359</v>
      </c>
      <c r="D198" t="s">
        <v>390</v>
      </c>
      <c r="E198" t="s">
        <v>770</v>
      </c>
      <c r="F198">
        <v>1</v>
      </c>
      <c r="G198">
        <v>1</v>
      </c>
      <c r="H198">
        <v>0.5</v>
      </c>
      <c r="I198" t="s">
        <v>732</v>
      </c>
      <c r="J198" t="s">
        <v>738</v>
      </c>
    </row>
    <row r="199" spans="1:10" x14ac:dyDescent="0.3">
      <c r="A199" t="s">
        <v>436</v>
      </c>
      <c r="B199" t="s">
        <v>437</v>
      </c>
      <c r="C199" t="s">
        <v>359</v>
      </c>
      <c r="D199" t="s">
        <v>392</v>
      </c>
      <c r="E199" t="s">
        <v>784</v>
      </c>
      <c r="F199">
        <v>1</v>
      </c>
      <c r="G199">
        <v>1</v>
      </c>
      <c r="H199">
        <v>0.5</v>
      </c>
      <c r="I199" t="s">
        <v>732</v>
      </c>
      <c r="J199" t="s">
        <v>738</v>
      </c>
    </row>
    <row r="200" spans="1:10" x14ac:dyDescent="0.3">
      <c r="A200" t="s">
        <v>436</v>
      </c>
      <c r="B200" t="s">
        <v>437</v>
      </c>
      <c r="C200" t="s">
        <v>359</v>
      </c>
      <c r="D200" t="s">
        <v>400</v>
      </c>
      <c r="E200" t="s">
        <v>778</v>
      </c>
      <c r="F200">
        <v>1</v>
      </c>
      <c r="G200">
        <v>1</v>
      </c>
      <c r="H200">
        <v>0.5</v>
      </c>
      <c r="I200" t="s">
        <v>732</v>
      </c>
      <c r="J200" t="s">
        <v>738</v>
      </c>
    </row>
    <row r="201" spans="1:10" x14ac:dyDescent="0.3">
      <c r="A201" t="s">
        <v>438</v>
      </c>
      <c r="B201" t="s">
        <v>439</v>
      </c>
      <c r="C201" t="s">
        <v>359</v>
      </c>
      <c r="D201" t="s">
        <v>392</v>
      </c>
      <c r="E201" t="s">
        <v>784</v>
      </c>
      <c r="F201">
        <v>1</v>
      </c>
      <c r="G201">
        <v>1</v>
      </c>
      <c r="H201">
        <v>0.5</v>
      </c>
      <c r="I201" t="s">
        <v>732</v>
      </c>
      <c r="J201" t="s">
        <v>738</v>
      </c>
    </row>
    <row r="202" spans="1:10" x14ac:dyDescent="0.3">
      <c r="A202" t="s">
        <v>438</v>
      </c>
      <c r="B202" t="s">
        <v>439</v>
      </c>
      <c r="C202" t="s">
        <v>359</v>
      </c>
      <c r="D202" t="s">
        <v>402</v>
      </c>
      <c r="E202" t="s">
        <v>779</v>
      </c>
      <c r="F202">
        <v>1</v>
      </c>
      <c r="G202">
        <v>1</v>
      </c>
      <c r="H202">
        <v>0.5</v>
      </c>
      <c r="I202" t="s">
        <v>732</v>
      </c>
      <c r="J202" t="s">
        <v>738</v>
      </c>
    </row>
    <row r="203" spans="1:10" x14ac:dyDescent="0.3">
      <c r="A203" t="s">
        <v>440</v>
      </c>
      <c r="B203" t="s">
        <v>441</v>
      </c>
      <c r="C203" t="s">
        <v>359</v>
      </c>
      <c r="D203" t="s">
        <v>392</v>
      </c>
      <c r="E203" t="s">
        <v>784</v>
      </c>
      <c r="F203">
        <v>1</v>
      </c>
      <c r="G203">
        <v>1</v>
      </c>
      <c r="H203">
        <v>0.5</v>
      </c>
      <c r="I203" t="s">
        <v>732</v>
      </c>
      <c r="J203" t="s">
        <v>738</v>
      </c>
    </row>
    <row r="204" spans="1:10" x14ac:dyDescent="0.3">
      <c r="A204" t="s">
        <v>440</v>
      </c>
      <c r="B204" t="s">
        <v>441</v>
      </c>
      <c r="C204" t="s">
        <v>359</v>
      </c>
      <c r="D204" t="s">
        <v>41</v>
      </c>
      <c r="E204" t="s">
        <v>42</v>
      </c>
      <c r="F204">
        <v>1</v>
      </c>
      <c r="G204">
        <v>1</v>
      </c>
      <c r="H204">
        <v>0.5</v>
      </c>
      <c r="I204" t="s">
        <v>732</v>
      </c>
      <c r="J204" t="s">
        <v>738</v>
      </c>
    </row>
    <row r="205" spans="1:10" x14ac:dyDescent="0.3">
      <c r="A205" t="s">
        <v>442</v>
      </c>
      <c r="B205" t="s">
        <v>443</v>
      </c>
      <c r="C205" t="s">
        <v>359</v>
      </c>
      <c r="D205" t="s">
        <v>392</v>
      </c>
      <c r="E205" t="s">
        <v>784</v>
      </c>
      <c r="F205">
        <v>1</v>
      </c>
      <c r="G205">
        <v>1</v>
      </c>
      <c r="H205">
        <v>0.5</v>
      </c>
      <c r="I205" t="s">
        <v>732</v>
      </c>
      <c r="J205" t="s">
        <v>738</v>
      </c>
    </row>
    <row r="206" spans="1:10" x14ac:dyDescent="0.3">
      <c r="A206" t="s">
        <v>442</v>
      </c>
      <c r="B206" t="s">
        <v>443</v>
      </c>
      <c r="C206" t="s">
        <v>359</v>
      </c>
      <c r="D206" t="s">
        <v>43</v>
      </c>
      <c r="E206" t="s">
        <v>44</v>
      </c>
      <c r="F206">
        <v>1</v>
      </c>
      <c r="G206">
        <v>1</v>
      </c>
      <c r="H206">
        <v>0.5</v>
      </c>
      <c r="I206" t="s">
        <v>732</v>
      </c>
      <c r="J206" t="s">
        <v>738</v>
      </c>
    </row>
    <row r="207" spans="1:10" x14ac:dyDescent="0.3">
      <c r="A207" t="s">
        <v>444</v>
      </c>
      <c r="B207" t="s">
        <v>445</v>
      </c>
      <c r="C207" t="s">
        <v>359</v>
      </c>
      <c r="D207" t="s">
        <v>400</v>
      </c>
      <c r="E207" t="s">
        <v>778</v>
      </c>
      <c r="F207">
        <v>2</v>
      </c>
      <c r="G207">
        <v>2</v>
      </c>
      <c r="H207">
        <v>0.33333333333333331</v>
      </c>
      <c r="I207" t="s">
        <v>732</v>
      </c>
      <c r="J207" t="s">
        <v>785</v>
      </c>
    </row>
    <row r="208" spans="1:10" x14ac:dyDescent="0.3">
      <c r="A208" t="s">
        <v>444</v>
      </c>
      <c r="B208" t="s">
        <v>445</v>
      </c>
      <c r="C208" t="s">
        <v>359</v>
      </c>
      <c r="D208" t="s">
        <v>398</v>
      </c>
      <c r="E208" t="s">
        <v>786</v>
      </c>
      <c r="F208">
        <v>4</v>
      </c>
      <c r="G208">
        <v>4</v>
      </c>
      <c r="H208">
        <v>0.66666666666666663</v>
      </c>
      <c r="I208" t="s">
        <v>732</v>
      </c>
      <c r="J208" t="s">
        <v>785</v>
      </c>
    </row>
    <row r="209" spans="1:10" x14ac:dyDescent="0.3">
      <c r="A209" t="s">
        <v>446</v>
      </c>
      <c r="B209" t="s">
        <v>447</v>
      </c>
      <c r="C209" t="s">
        <v>359</v>
      </c>
      <c r="D209" t="s">
        <v>400</v>
      </c>
      <c r="E209" t="s">
        <v>778</v>
      </c>
      <c r="F209">
        <v>1</v>
      </c>
      <c r="G209">
        <v>1</v>
      </c>
      <c r="H209">
        <v>0.33333333333333331</v>
      </c>
      <c r="I209" t="s">
        <v>732</v>
      </c>
      <c r="J209" t="s">
        <v>739</v>
      </c>
    </row>
    <row r="210" spans="1:10" x14ac:dyDescent="0.3">
      <c r="A210" t="s">
        <v>446</v>
      </c>
      <c r="B210" t="s">
        <v>447</v>
      </c>
      <c r="C210" t="s">
        <v>359</v>
      </c>
      <c r="D210" t="s">
        <v>398</v>
      </c>
      <c r="E210" t="s">
        <v>786</v>
      </c>
      <c r="F210">
        <v>2</v>
      </c>
      <c r="G210">
        <v>2</v>
      </c>
      <c r="H210">
        <v>0.66666666666666663</v>
      </c>
      <c r="I210" t="s">
        <v>732</v>
      </c>
      <c r="J210" t="s">
        <v>739</v>
      </c>
    </row>
    <row r="211" spans="1:10" x14ac:dyDescent="0.3">
      <c r="A211" t="s">
        <v>448</v>
      </c>
      <c r="B211" t="s">
        <v>449</v>
      </c>
      <c r="C211" t="s">
        <v>359</v>
      </c>
      <c r="D211" t="s">
        <v>400</v>
      </c>
      <c r="E211" t="s">
        <v>778</v>
      </c>
      <c r="F211">
        <v>1</v>
      </c>
      <c r="G211">
        <v>1</v>
      </c>
      <c r="H211">
        <v>0.5</v>
      </c>
      <c r="I211" t="s">
        <v>732</v>
      </c>
      <c r="J211" t="s">
        <v>738</v>
      </c>
    </row>
    <row r="212" spans="1:10" x14ac:dyDescent="0.3">
      <c r="A212" t="s">
        <v>448</v>
      </c>
      <c r="B212" t="s">
        <v>449</v>
      </c>
      <c r="C212" t="s">
        <v>359</v>
      </c>
      <c r="D212" t="s">
        <v>398</v>
      </c>
      <c r="E212" t="s">
        <v>786</v>
      </c>
      <c r="F212">
        <v>1</v>
      </c>
      <c r="G212">
        <v>1</v>
      </c>
      <c r="H212">
        <v>0.5</v>
      </c>
      <c r="I212" t="s">
        <v>732</v>
      </c>
      <c r="J212" t="s">
        <v>738</v>
      </c>
    </row>
    <row r="213" spans="1:10" x14ac:dyDescent="0.3">
      <c r="A213" t="s">
        <v>450</v>
      </c>
      <c r="B213" t="s">
        <v>451</v>
      </c>
      <c r="C213" t="s">
        <v>359</v>
      </c>
      <c r="E213" t="s">
        <v>787</v>
      </c>
      <c r="F213">
        <v>6</v>
      </c>
      <c r="G213">
        <v>1</v>
      </c>
      <c r="H213">
        <v>1</v>
      </c>
      <c r="I213" t="s">
        <v>728</v>
      </c>
      <c r="J213" t="s">
        <v>729</v>
      </c>
    </row>
    <row r="214" spans="1:10" x14ac:dyDescent="0.3">
      <c r="A214" t="s">
        <v>452</v>
      </c>
      <c r="B214" t="s">
        <v>453</v>
      </c>
      <c r="C214" t="s">
        <v>359</v>
      </c>
      <c r="E214" t="s">
        <v>787</v>
      </c>
      <c r="F214">
        <v>3</v>
      </c>
      <c r="G214">
        <v>1</v>
      </c>
      <c r="H214">
        <v>1</v>
      </c>
      <c r="I214" t="s">
        <v>728</v>
      </c>
      <c r="J214" t="s">
        <v>729</v>
      </c>
    </row>
    <row r="215" spans="1:10" x14ac:dyDescent="0.3">
      <c r="A215" t="s">
        <v>454</v>
      </c>
      <c r="B215" t="s">
        <v>455</v>
      </c>
      <c r="C215" t="s">
        <v>359</v>
      </c>
      <c r="D215" t="s">
        <v>400</v>
      </c>
      <c r="E215" t="s">
        <v>778</v>
      </c>
      <c r="F215">
        <v>2</v>
      </c>
      <c r="G215">
        <v>1</v>
      </c>
      <c r="H215">
        <v>1</v>
      </c>
      <c r="I215" t="s">
        <v>732</v>
      </c>
      <c r="J215" t="s">
        <v>733</v>
      </c>
    </row>
    <row r="216" spans="1:10" x14ac:dyDescent="0.3">
      <c r="A216" t="s">
        <v>456</v>
      </c>
      <c r="B216" t="s">
        <v>457</v>
      </c>
      <c r="C216" t="s">
        <v>359</v>
      </c>
      <c r="D216" t="s">
        <v>402</v>
      </c>
      <c r="E216" t="s">
        <v>779</v>
      </c>
      <c r="F216">
        <v>2</v>
      </c>
      <c r="G216">
        <v>2</v>
      </c>
      <c r="H216">
        <v>0.33333333333333331</v>
      </c>
      <c r="I216" t="s">
        <v>732</v>
      </c>
      <c r="J216" t="s">
        <v>785</v>
      </c>
    </row>
    <row r="217" spans="1:10" x14ac:dyDescent="0.3">
      <c r="A217" t="s">
        <v>456</v>
      </c>
      <c r="B217" t="s">
        <v>457</v>
      </c>
      <c r="C217" t="s">
        <v>359</v>
      </c>
      <c r="D217" t="s">
        <v>404</v>
      </c>
      <c r="E217" t="s">
        <v>788</v>
      </c>
      <c r="F217">
        <v>4</v>
      </c>
      <c r="G217">
        <v>4</v>
      </c>
      <c r="H217">
        <v>0.66666666666666663</v>
      </c>
      <c r="I217" t="s">
        <v>732</v>
      </c>
      <c r="J217" t="s">
        <v>785</v>
      </c>
    </row>
    <row r="218" spans="1:10" x14ac:dyDescent="0.3">
      <c r="A218" t="s">
        <v>458</v>
      </c>
      <c r="B218" t="s">
        <v>459</v>
      </c>
      <c r="C218" t="s">
        <v>359</v>
      </c>
      <c r="D218" t="s">
        <v>402</v>
      </c>
      <c r="E218" t="s">
        <v>779</v>
      </c>
      <c r="F218">
        <v>1</v>
      </c>
      <c r="G218">
        <v>1</v>
      </c>
      <c r="H218">
        <v>0.33333333333333331</v>
      </c>
      <c r="I218" t="s">
        <v>732</v>
      </c>
      <c r="J218" t="s">
        <v>739</v>
      </c>
    </row>
    <row r="219" spans="1:10" x14ac:dyDescent="0.3">
      <c r="A219" t="s">
        <v>458</v>
      </c>
      <c r="B219" t="s">
        <v>459</v>
      </c>
      <c r="C219" t="s">
        <v>359</v>
      </c>
      <c r="D219" t="s">
        <v>404</v>
      </c>
      <c r="E219" t="s">
        <v>788</v>
      </c>
      <c r="F219">
        <v>2</v>
      </c>
      <c r="G219">
        <v>2</v>
      </c>
      <c r="H219">
        <v>0.66666666666666663</v>
      </c>
      <c r="I219" t="s">
        <v>732</v>
      </c>
      <c r="J219" t="s">
        <v>739</v>
      </c>
    </row>
    <row r="220" spans="1:10" x14ac:dyDescent="0.3">
      <c r="A220" t="s">
        <v>460</v>
      </c>
      <c r="B220" t="s">
        <v>461</v>
      </c>
      <c r="C220" t="s">
        <v>359</v>
      </c>
      <c r="D220" t="s">
        <v>402</v>
      </c>
      <c r="E220" t="s">
        <v>779</v>
      </c>
      <c r="F220">
        <v>1</v>
      </c>
      <c r="G220">
        <v>1</v>
      </c>
      <c r="H220">
        <v>0.5</v>
      </c>
      <c r="I220" t="s">
        <v>732</v>
      </c>
      <c r="J220" t="s">
        <v>738</v>
      </c>
    </row>
    <row r="221" spans="1:10" x14ac:dyDescent="0.3">
      <c r="A221" t="s">
        <v>460</v>
      </c>
      <c r="B221" t="s">
        <v>461</v>
      </c>
      <c r="C221" t="s">
        <v>359</v>
      </c>
      <c r="D221" t="s">
        <v>404</v>
      </c>
      <c r="E221" t="s">
        <v>788</v>
      </c>
      <c r="F221">
        <v>1</v>
      </c>
      <c r="G221">
        <v>1</v>
      </c>
      <c r="H221">
        <v>0.5</v>
      </c>
      <c r="I221" t="s">
        <v>732</v>
      </c>
      <c r="J221" t="s">
        <v>738</v>
      </c>
    </row>
    <row r="222" spans="1:10" x14ac:dyDescent="0.3">
      <c r="A222" t="s">
        <v>462</v>
      </c>
      <c r="B222" t="s">
        <v>463</v>
      </c>
      <c r="C222" t="s">
        <v>359</v>
      </c>
      <c r="E222" t="s">
        <v>787</v>
      </c>
      <c r="F222">
        <v>6</v>
      </c>
      <c r="G222">
        <v>1</v>
      </c>
      <c r="H222">
        <v>1</v>
      </c>
      <c r="I222" t="s">
        <v>728</v>
      </c>
      <c r="J222" t="s">
        <v>729</v>
      </c>
    </row>
    <row r="223" spans="1:10" x14ac:dyDescent="0.3">
      <c r="A223" t="s">
        <v>464</v>
      </c>
      <c r="B223" t="s">
        <v>465</v>
      </c>
      <c r="C223" t="s">
        <v>359</v>
      </c>
      <c r="E223" t="s">
        <v>787</v>
      </c>
      <c r="F223">
        <v>3</v>
      </c>
      <c r="G223">
        <v>0.5</v>
      </c>
      <c r="H223">
        <v>0.5</v>
      </c>
      <c r="I223" t="s">
        <v>728</v>
      </c>
      <c r="J223" t="s">
        <v>748</v>
      </c>
    </row>
    <row r="224" spans="1:10" x14ac:dyDescent="0.3">
      <c r="A224" t="s">
        <v>464</v>
      </c>
      <c r="B224" t="s">
        <v>465</v>
      </c>
      <c r="C224" t="s">
        <v>359</v>
      </c>
      <c r="E224" t="s">
        <v>787</v>
      </c>
      <c r="F224">
        <v>3</v>
      </c>
      <c r="G224">
        <v>0.5</v>
      </c>
      <c r="H224">
        <v>0.5</v>
      </c>
      <c r="I224" t="s">
        <v>728</v>
      </c>
      <c r="J224" t="s">
        <v>748</v>
      </c>
    </row>
    <row r="225" spans="1:10" x14ac:dyDescent="0.3">
      <c r="A225" t="s">
        <v>466</v>
      </c>
      <c r="B225" t="s">
        <v>467</v>
      </c>
      <c r="C225" t="s">
        <v>359</v>
      </c>
      <c r="E225" t="s">
        <v>787</v>
      </c>
      <c r="F225">
        <v>3</v>
      </c>
      <c r="G225">
        <v>1</v>
      </c>
      <c r="H225">
        <v>1</v>
      </c>
      <c r="I225" t="s">
        <v>728</v>
      </c>
      <c r="J225" t="s">
        <v>729</v>
      </c>
    </row>
    <row r="226" spans="1:10" x14ac:dyDescent="0.3">
      <c r="A226" t="s">
        <v>468</v>
      </c>
      <c r="B226" t="s">
        <v>469</v>
      </c>
      <c r="C226" t="s">
        <v>359</v>
      </c>
      <c r="D226" t="s">
        <v>402</v>
      </c>
      <c r="E226" t="s">
        <v>779</v>
      </c>
      <c r="F226">
        <v>2</v>
      </c>
      <c r="G226">
        <v>1</v>
      </c>
      <c r="H226">
        <v>1</v>
      </c>
      <c r="I226" t="s">
        <v>732</v>
      </c>
      <c r="J226" t="s">
        <v>733</v>
      </c>
    </row>
    <row r="227" spans="1:10" x14ac:dyDescent="0.3">
      <c r="A227" t="s">
        <v>470</v>
      </c>
      <c r="B227" t="s">
        <v>471</v>
      </c>
      <c r="C227" t="s">
        <v>359</v>
      </c>
      <c r="D227" t="s">
        <v>402</v>
      </c>
      <c r="E227" t="s">
        <v>779</v>
      </c>
      <c r="F227">
        <v>1</v>
      </c>
      <c r="G227">
        <v>1</v>
      </c>
      <c r="H227">
        <v>0.16666666666666671</v>
      </c>
      <c r="I227" t="s">
        <v>732</v>
      </c>
      <c r="J227" t="s">
        <v>739</v>
      </c>
    </row>
    <row r="228" spans="1:10" x14ac:dyDescent="0.3">
      <c r="A228" t="s">
        <v>470</v>
      </c>
      <c r="B228" t="s">
        <v>471</v>
      </c>
      <c r="C228" t="s">
        <v>359</v>
      </c>
      <c r="D228" t="s">
        <v>400</v>
      </c>
      <c r="E228" t="s">
        <v>778</v>
      </c>
      <c r="F228">
        <v>2</v>
      </c>
      <c r="G228">
        <v>2</v>
      </c>
      <c r="H228">
        <v>0.33333333333333331</v>
      </c>
      <c r="I228" t="s">
        <v>732</v>
      </c>
      <c r="J228" t="s">
        <v>739</v>
      </c>
    </row>
    <row r="229" spans="1:10" x14ac:dyDescent="0.3">
      <c r="A229" t="s">
        <v>470</v>
      </c>
      <c r="B229" t="s">
        <v>471</v>
      </c>
      <c r="C229" t="s">
        <v>359</v>
      </c>
      <c r="D229" t="s">
        <v>404</v>
      </c>
      <c r="E229" t="s">
        <v>788</v>
      </c>
      <c r="F229">
        <v>1</v>
      </c>
      <c r="G229">
        <v>1</v>
      </c>
      <c r="H229">
        <v>0.16666666666666671</v>
      </c>
      <c r="I229" t="s">
        <v>732</v>
      </c>
      <c r="J229" t="s">
        <v>739</v>
      </c>
    </row>
    <row r="230" spans="1:10" x14ac:dyDescent="0.3">
      <c r="A230" t="s">
        <v>470</v>
      </c>
      <c r="B230" t="s">
        <v>471</v>
      </c>
      <c r="C230" t="s">
        <v>359</v>
      </c>
      <c r="D230" t="s">
        <v>398</v>
      </c>
      <c r="E230" t="s">
        <v>786</v>
      </c>
      <c r="F230">
        <v>2</v>
      </c>
      <c r="G230">
        <v>2</v>
      </c>
      <c r="H230">
        <v>0.33333333333333331</v>
      </c>
      <c r="I230" t="s">
        <v>732</v>
      </c>
      <c r="J230" t="s">
        <v>739</v>
      </c>
    </row>
    <row r="231" spans="1:10" x14ac:dyDescent="0.3">
      <c r="A231" t="s">
        <v>472</v>
      </c>
      <c r="B231" t="s">
        <v>473</v>
      </c>
      <c r="C231" t="s">
        <v>359</v>
      </c>
      <c r="E231" t="s">
        <v>789</v>
      </c>
      <c r="F231">
        <v>1</v>
      </c>
      <c r="G231">
        <v>0.5</v>
      </c>
      <c r="H231">
        <v>0.5</v>
      </c>
      <c r="I231" t="s">
        <v>728</v>
      </c>
      <c r="J231" t="s">
        <v>748</v>
      </c>
    </row>
    <row r="232" spans="1:10" x14ac:dyDescent="0.3">
      <c r="A232" t="s">
        <v>472</v>
      </c>
      <c r="B232" t="s">
        <v>473</v>
      </c>
      <c r="C232" t="s">
        <v>359</v>
      </c>
      <c r="E232" t="s">
        <v>789</v>
      </c>
      <c r="F232">
        <v>1</v>
      </c>
      <c r="G232">
        <v>0.5</v>
      </c>
      <c r="H232">
        <v>0.5</v>
      </c>
      <c r="I232" t="s">
        <v>728</v>
      </c>
      <c r="J232" t="s">
        <v>748</v>
      </c>
    </row>
    <row r="233" spans="1:10" x14ac:dyDescent="0.3">
      <c r="A233" t="s">
        <v>474</v>
      </c>
      <c r="B233" t="s">
        <v>475</v>
      </c>
      <c r="C233" t="s">
        <v>359</v>
      </c>
      <c r="D233" t="s">
        <v>396</v>
      </c>
      <c r="E233" t="s">
        <v>790</v>
      </c>
      <c r="F233">
        <v>2</v>
      </c>
      <c r="G233">
        <v>1</v>
      </c>
      <c r="H233">
        <v>1</v>
      </c>
      <c r="I233" t="s">
        <v>732</v>
      </c>
      <c r="J233" t="s">
        <v>733</v>
      </c>
    </row>
    <row r="234" spans="1:10" x14ac:dyDescent="0.3">
      <c r="A234" t="s">
        <v>510</v>
      </c>
      <c r="B234" t="s">
        <v>511</v>
      </c>
      <c r="C234" t="s">
        <v>507</v>
      </c>
      <c r="E234" t="s">
        <v>791</v>
      </c>
      <c r="F234">
        <v>1</v>
      </c>
      <c r="G234">
        <v>0.5</v>
      </c>
      <c r="H234">
        <v>0.5</v>
      </c>
      <c r="I234" t="s">
        <v>728</v>
      </c>
      <c r="J234" t="s">
        <v>792</v>
      </c>
    </row>
    <row r="235" spans="1:10" x14ac:dyDescent="0.3">
      <c r="A235" t="s">
        <v>510</v>
      </c>
      <c r="B235" t="s">
        <v>511</v>
      </c>
      <c r="C235" t="s">
        <v>507</v>
      </c>
      <c r="E235" t="s">
        <v>791</v>
      </c>
      <c r="F235">
        <v>1</v>
      </c>
      <c r="G235">
        <v>0.5</v>
      </c>
      <c r="H235">
        <v>0.5</v>
      </c>
      <c r="I235" t="s">
        <v>728</v>
      </c>
      <c r="J235" t="s">
        <v>792</v>
      </c>
    </row>
    <row r="236" spans="1:10" x14ac:dyDescent="0.3">
      <c r="A236" t="s">
        <v>512</v>
      </c>
      <c r="B236" t="s">
        <v>513</v>
      </c>
      <c r="C236" t="s">
        <v>507</v>
      </c>
      <c r="F236">
        <v>4</v>
      </c>
      <c r="G236">
        <v>1</v>
      </c>
      <c r="H236">
        <v>1</v>
      </c>
      <c r="I236" t="s">
        <v>728</v>
      </c>
      <c r="J236" t="s">
        <v>730</v>
      </c>
    </row>
    <row r="237" spans="1:10" x14ac:dyDescent="0.3">
      <c r="A237" t="s">
        <v>514</v>
      </c>
      <c r="B237" t="s">
        <v>515</v>
      </c>
      <c r="C237" t="s">
        <v>507</v>
      </c>
      <c r="E237" t="s">
        <v>793</v>
      </c>
      <c r="F237">
        <v>1</v>
      </c>
      <c r="G237">
        <v>0.33333299999999999</v>
      </c>
      <c r="H237">
        <v>0.33333299999999999</v>
      </c>
      <c r="I237" t="s">
        <v>728</v>
      </c>
      <c r="J237" t="s">
        <v>792</v>
      </c>
    </row>
    <row r="238" spans="1:10" x14ac:dyDescent="0.3">
      <c r="A238" t="s">
        <v>514</v>
      </c>
      <c r="B238" t="s">
        <v>515</v>
      </c>
      <c r="C238" t="s">
        <v>507</v>
      </c>
      <c r="E238" t="s">
        <v>794</v>
      </c>
      <c r="F238">
        <v>1</v>
      </c>
      <c r="G238">
        <v>0.33333299999999999</v>
      </c>
      <c r="H238">
        <v>0.33333299999999999</v>
      </c>
      <c r="I238" t="s">
        <v>728</v>
      </c>
      <c r="J238" t="s">
        <v>792</v>
      </c>
    </row>
    <row r="239" spans="1:10" x14ac:dyDescent="0.3">
      <c r="A239" t="s">
        <v>514</v>
      </c>
      <c r="B239" t="s">
        <v>515</v>
      </c>
      <c r="C239" t="s">
        <v>507</v>
      </c>
      <c r="E239" t="s">
        <v>795</v>
      </c>
      <c r="F239">
        <v>1</v>
      </c>
      <c r="G239">
        <v>0.33333299999999999</v>
      </c>
      <c r="H239">
        <v>0.33333299999999999</v>
      </c>
      <c r="I239" t="s">
        <v>728</v>
      </c>
      <c r="J239" t="s">
        <v>792</v>
      </c>
    </row>
    <row r="240" spans="1:10" x14ac:dyDescent="0.3">
      <c r="A240" t="s">
        <v>516</v>
      </c>
      <c r="B240" t="s">
        <v>517</v>
      </c>
      <c r="C240" t="s">
        <v>507</v>
      </c>
      <c r="E240" t="s">
        <v>793</v>
      </c>
      <c r="F240">
        <v>1</v>
      </c>
      <c r="G240">
        <v>0.33333299999999999</v>
      </c>
      <c r="H240">
        <v>0.33333299999999999</v>
      </c>
      <c r="I240" t="s">
        <v>728</v>
      </c>
      <c r="J240" t="s">
        <v>796</v>
      </c>
    </row>
    <row r="241" spans="1:10" x14ac:dyDescent="0.3">
      <c r="A241" t="s">
        <v>516</v>
      </c>
      <c r="B241" t="s">
        <v>517</v>
      </c>
      <c r="C241" t="s">
        <v>507</v>
      </c>
      <c r="E241" t="s">
        <v>794</v>
      </c>
      <c r="F241">
        <v>1</v>
      </c>
      <c r="G241">
        <v>0.33333299999999999</v>
      </c>
      <c r="H241">
        <v>0.33333299999999999</v>
      </c>
      <c r="I241" t="s">
        <v>728</v>
      </c>
      <c r="J241" t="s">
        <v>796</v>
      </c>
    </row>
    <row r="242" spans="1:10" x14ac:dyDescent="0.3">
      <c r="A242" t="s">
        <v>516</v>
      </c>
      <c r="B242" t="s">
        <v>517</v>
      </c>
      <c r="C242" t="s">
        <v>507</v>
      </c>
      <c r="E242" t="s">
        <v>797</v>
      </c>
      <c r="F242">
        <v>1</v>
      </c>
      <c r="G242">
        <v>0.33333299999999999</v>
      </c>
      <c r="H242">
        <v>0.33333299999999999</v>
      </c>
      <c r="I242" t="s">
        <v>728</v>
      </c>
      <c r="J242" t="s">
        <v>796</v>
      </c>
    </row>
    <row r="243" spans="1:10" x14ac:dyDescent="0.3">
      <c r="A243" t="s">
        <v>518</v>
      </c>
      <c r="B243" t="s">
        <v>519</v>
      </c>
      <c r="C243" t="s">
        <v>507</v>
      </c>
      <c r="E243" t="s">
        <v>798</v>
      </c>
      <c r="F243">
        <v>1</v>
      </c>
      <c r="G243">
        <v>0.5</v>
      </c>
      <c r="H243">
        <v>0.5</v>
      </c>
      <c r="I243" t="s">
        <v>728</v>
      </c>
      <c r="J243" t="s">
        <v>792</v>
      </c>
    </row>
    <row r="244" spans="1:10" x14ac:dyDescent="0.3">
      <c r="A244" t="s">
        <v>518</v>
      </c>
      <c r="B244" t="s">
        <v>519</v>
      </c>
      <c r="C244" t="s">
        <v>507</v>
      </c>
      <c r="E244" t="s">
        <v>799</v>
      </c>
      <c r="F244">
        <v>1</v>
      </c>
      <c r="G244">
        <v>0.5</v>
      </c>
      <c r="H244">
        <v>0.5</v>
      </c>
      <c r="I244" t="s">
        <v>728</v>
      </c>
      <c r="J244" t="s">
        <v>792</v>
      </c>
    </row>
    <row r="245" spans="1:10" x14ac:dyDescent="0.3">
      <c r="A245" t="s">
        <v>520</v>
      </c>
      <c r="B245" t="s">
        <v>521</v>
      </c>
      <c r="C245" t="s">
        <v>507</v>
      </c>
      <c r="E245" t="s">
        <v>798</v>
      </c>
      <c r="F245">
        <v>1</v>
      </c>
      <c r="G245">
        <v>0.33333299999999999</v>
      </c>
      <c r="H245">
        <v>0.33333299999999999</v>
      </c>
      <c r="I245" t="s">
        <v>728</v>
      </c>
      <c r="J245" t="s">
        <v>792</v>
      </c>
    </row>
    <row r="246" spans="1:10" x14ac:dyDescent="0.3">
      <c r="A246" t="s">
        <v>520</v>
      </c>
      <c r="B246" t="s">
        <v>521</v>
      </c>
      <c r="C246" t="s">
        <v>507</v>
      </c>
      <c r="E246" t="s">
        <v>800</v>
      </c>
      <c r="F246">
        <v>1</v>
      </c>
      <c r="G246">
        <v>0.33333299999999999</v>
      </c>
      <c r="H246">
        <v>0.33333299999999999</v>
      </c>
      <c r="I246" t="s">
        <v>728</v>
      </c>
      <c r="J246" t="s">
        <v>792</v>
      </c>
    </row>
    <row r="247" spans="1:10" x14ac:dyDescent="0.3">
      <c r="A247" t="s">
        <v>520</v>
      </c>
      <c r="B247" t="s">
        <v>521</v>
      </c>
      <c r="C247" t="s">
        <v>507</v>
      </c>
      <c r="E247" t="s">
        <v>801</v>
      </c>
      <c r="F247">
        <v>1</v>
      </c>
      <c r="G247">
        <v>0.33333299999999999</v>
      </c>
      <c r="H247">
        <v>0.33333299999999999</v>
      </c>
      <c r="I247" t="s">
        <v>728</v>
      </c>
      <c r="J247" t="s">
        <v>792</v>
      </c>
    </row>
    <row r="248" spans="1:10" x14ac:dyDescent="0.3">
      <c r="A248" t="s">
        <v>522</v>
      </c>
      <c r="B248" t="s">
        <v>523</v>
      </c>
      <c r="C248" t="s">
        <v>507</v>
      </c>
      <c r="E248" t="s">
        <v>802</v>
      </c>
      <c r="F248">
        <v>1</v>
      </c>
      <c r="G248">
        <v>0.25</v>
      </c>
      <c r="H248">
        <v>0.25</v>
      </c>
      <c r="I248" t="s">
        <v>728</v>
      </c>
      <c r="J248" t="s">
        <v>748</v>
      </c>
    </row>
    <row r="249" spans="1:10" x14ac:dyDescent="0.3">
      <c r="A249" t="s">
        <v>522</v>
      </c>
      <c r="B249" t="s">
        <v>523</v>
      </c>
      <c r="C249" t="s">
        <v>507</v>
      </c>
      <c r="E249" t="s">
        <v>802</v>
      </c>
      <c r="F249">
        <v>1</v>
      </c>
      <c r="G249">
        <v>0.25</v>
      </c>
      <c r="H249">
        <v>0.25</v>
      </c>
      <c r="I249" t="s">
        <v>728</v>
      </c>
      <c r="J249" t="s">
        <v>748</v>
      </c>
    </row>
    <row r="250" spans="1:10" x14ac:dyDescent="0.3">
      <c r="A250" t="s">
        <v>522</v>
      </c>
      <c r="B250" t="s">
        <v>523</v>
      </c>
      <c r="C250" t="s">
        <v>507</v>
      </c>
      <c r="E250" t="s">
        <v>802</v>
      </c>
      <c r="F250">
        <v>1</v>
      </c>
      <c r="G250">
        <v>0.25</v>
      </c>
      <c r="H250">
        <v>0.25</v>
      </c>
      <c r="I250" t="s">
        <v>728</v>
      </c>
      <c r="J250" t="s">
        <v>748</v>
      </c>
    </row>
    <row r="251" spans="1:10" x14ac:dyDescent="0.3">
      <c r="A251" t="s">
        <v>522</v>
      </c>
      <c r="B251" t="s">
        <v>523</v>
      </c>
      <c r="C251" t="s">
        <v>507</v>
      </c>
      <c r="E251" t="s">
        <v>803</v>
      </c>
      <c r="F251">
        <v>1</v>
      </c>
      <c r="G251">
        <v>0.25</v>
      </c>
      <c r="H251">
        <v>0.25</v>
      </c>
      <c r="I251" t="s">
        <v>728</v>
      </c>
      <c r="J251" t="s">
        <v>748</v>
      </c>
    </row>
    <row r="252" spans="1:10" x14ac:dyDescent="0.3">
      <c r="A252" t="s">
        <v>524</v>
      </c>
      <c r="B252" t="s">
        <v>525</v>
      </c>
      <c r="C252" t="s">
        <v>507</v>
      </c>
      <c r="E252" t="s">
        <v>804</v>
      </c>
      <c r="F252">
        <v>2</v>
      </c>
      <c r="G252">
        <v>1</v>
      </c>
      <c r="H252">
        <v>1</v>
      </c>
      <c r="I252" t="s">
        <v>728</v>
      </c>
      <c r="J252" t="s">
        <v>729</v>
      </c>
    </row>
    <row r="253" spans="1:10" x14ac:dyDescent="0.3">
      <c r="A253" t="s">
        <v>526</v>
      </c>
      <c r="B253" t="s">
        <v>527</v>
      </c>
      <c r="C253" t="s">
        <v>507</v>
      </c>
      <c r="F253">
        <v>4</v>
      </c>
      <c r="G253">
        <v>1</v>
      </c>
      <c r="H253">
        <v>1</v>
      </c>
      <c r="I253" t="s">
        <v>728</v>
      </c>
      <c r="J253" t="s">
        <v>730</v>
      </c>
    </row>
    <row r="254" spans="1:10" x14ac:dyDescent="0.3">
      <c r="A254" t="s">
        <v>528</v>
      </c>
      <c r="B254" t="s">
        <v>529</v>
      </c>
      <c r="C254" t="s">
        <v>507</v>
      </c>
      <c r="E254" t="s">
        <v>747</v>
      </c>
      <c r="F254">
        <v>2</v>
      </c>
      <c r="G254">
        <v>1</v>
      </c>
      <c r="H254">
        <v>1</v>
      </c>
      <c r="I254" t="s">
        <v>728</v>
      </c>
      <c r="J254" t="s">
        <v>729</v>
      </c>
    </row>
    <row r="255" spans="1:10" x14ac:dyDescent="0.3">
      <c r="A255" t="s">
        <v>530</v>
      </c>
      <c r="B255" t="s">
        <v>531</v>
      </c>
      <c r="C255" t="s">
        <v>507</v>
      </c>
      <c r="E255" t="s">
        <v>802</v>
      </c>
      <c r="F255">
        <v>1</v>
      </c>
      <c r="G255">
        <v>0.5</v>
      </c>
      <c r="H255">
        <v>0.5</v>
      </c>
      <c r="I255" t="s">
        <v>728</v>
      </c>
      <c r="J255" t="s">
        <v>748</v>
      </c>
    </row>
    <row r="256" spans="1:10" x14ac:dyDescent="0.3">
      <c r="A256" t="s">
        <v>530</v>
      </c>
      <c r="B256" t="s">
        <v>531</v>
      </c>
      <c r="C256" t="s">
        <v>507</v>
      </c>
      <c r="E256" t="s">
        <v>805</v>
      </c>
      <c r="F256">
        <v>2</v>
      </c>
      <c r="G256">
        <v>0.5</v>
      </c>
      <c r="H256">
        <v>0.5</v>
      </c>
      <c r="I256" t="s">
        <v>728</v>
      </c>
      <c r="J256" t="s">
        <v>748</v>
      </c>
    </row>
    <row r="257" spans="1:10" x14ac:dyDescent="0.3">
      <c r="A257" t="s">
        <v>532</v>
      </c>
      <c r="B257" t="s">
        <v>533</v>
      </c>
      <c r="C257" t="s">
        <v>507</v>
      </c>
      <c r="E257" t="s">
        <v>802</v>
      </c>
      <c r="F257">
        <v>1</v>
      </c>
      <c r="G257">
        <v>0.5</v>
      </c>
      <c r="H257">
        <v>0.5</v>
      </c>
      <c r="I257" t="s">
        <v>728</v>
      </c>
      <c r="J257" t="s">
        <v>748</v>
      </c>
    </row>
    <row r="258" spans="1:10" x14ac:dyDescent="0.3">
      <c r="A258" t="s">
        <v>532</v>
      </c>
      <c r="B258" t="s">
        <v>533</v>
      </c>
      <c r="C258" t="s">
        <v>507</v>
      </c>
      <c r="E258" t="s">
        <v>803</v>
      </c>
      <c r="F258">
        <v>1</v>
      </c>
      <c r="G258">
        <v>0.5</v>
      </c>
      <c r="H258">
        <v>0.5</v>
      </c>
      <c r="I258" t="s">
        <v>728</v>
      </c>
      <c r="J258" t="s">
        <v>748</v>
      </c>
    </row>
    <row r="259" spans="1:10" x14ac:dyDescent="0.3">
      <c r="A259" t="s">
        <v>534</v>
      </c>
      <c r="B259" t="s">
        <v>535</v>
      </c>
      <c r="C259" t="s">
        <v>507</v>
      </c>
      <c r="E259" t="s">
        <v>802</v>
      </c>
      <c r="F259">
        <v>1</v>
      </c>
      <c r="G259">
        <v>0.33333299999999999</v>
      </c>
      <c r="H259">
        <v>0.33333299999999999</v>
      </c>
      <c r="I259" t="s">
        <v>728</v>
      </c>
      <c r="J259" t="s">
        <v>806</v>
      </c>
    </row>
    <row r="260" spans="1:10" x14ac:dyDescent="0.3">
      <c r="A260" t="s">
        <v>534</v>
      </c>
      <c r="B260" t="s">
        <v>535</v>
      </c>
      <c r="C260" t="s">
        <v>507</v>
      </c>
      <c r="E260" t="s">
        <v>802</v>
      </c>
      <c r="F260">
        <v>1</v>
      </c>
      <c r="G260">
        <v>0.33333299999999999</v>
      </c>
      <c r="H260">
        <v>0.33333299999999999</v>
      </c>
      <c r="I260" t="s">
        <v>728</v>
      </c>
      <c r="J260" t="s">
        <v>806</v>
      </c>
    </row>
    <row r="261" spans="1:10" x14ac:dyDescent="0.3">
      <c r="A261" t="s">
        <v>534</v>
      </c>
      <c r="B261" t="s">
        <v>535</v>
      </c>
      <c r="C261" t="s">
        <v>507</v>
      </c>
      <c r="E261" t="s">
        <v>803</v>
      </c>
      <c r="F261">
        <v>1</v>
      </c>
      <c r="G261">
        <v>0.33333299999999999</v>
      </c>
      <c r="H261">
        <v>0.33333299999999999</v>
      </c>
      <c r="I261" t="s">
        <v>728</v>
      </c>
      <c r="J261" t="s">
        <v>806</v>
      </c>
    </row>
    <row r="262" spans="1:10" x14ac:dyDescent="0.3">
      <c r="A262" t="s">
        <v>536</v>
      </c>
      <c r="B262" t="s">
        <v>537</v>
      </c>
      <c r="C262" t="s">
        <v>507</v>
      </c>
      <c r="E262" t="s">
        <v>802</v>
      </c>
      <c r="F262">
        <v>1</v>
      </c>
      <c r="G262">
        <v>0.33333299999999999</v>
      </c>
      <c r="H262">
        <v>0.33333299999999999</v>
      </c>
      <c r="I262" t="s">
        <v>728</v>
      </c>
      <c r="J262" t="s">
        <v>806</v>
      </c>
    </row>
    <row r="263" spans="1:10" x14ac:dyDescent="0.3">
      <c r="A263" t="s">
        <v>536</v>
      </c>
      <c r="B263" t="s">
        <v>537</v>
      </c>
      <c r="C263" t="s">
        <v>507</v>
      </c>
      <c r="E263" t="s">
        <v>802</v>
      </c>
      <c r="F263">
        <v>1</v>
      </c>
      <c r="G263">
        <v>0.33333299999999999</v>
      </c>
      <c r="H263">
        <v>0.33333299999999999</v>
      </c>
      <c r="I263" t="s">
        <v>728</v>
      </c>
      <c r="J263" t="s">
        <v>806</v>
      </c>
    </row>
    <row r="264" spans="1:10" x14ac:dyDescent="0.3">
      <c r="A264" t="s">
        <v>536</v>
      </c>
      <c r="B264" t="s">
        <v>537</v>
      </c>
      <c r="C264" t="s">
        <v>507</v>
      </c>
      <c r="E264" t="s">
        <v>803</v>
      </c>
      <c r="F264">
        <v>1</v>
      </c>
      <c r="G264">
        <v>0.33333299999999999</v>
      </c>
      <c r="H264">
        <v>0.33333299999999999</v>
      </c>
      <c r="I264" t="s">
        <v>728</v>
      </c>
      <c r="J264" t="s">
        <v>806</v>
      </c>
    </row>
    <row r="265" spans="1:10" x14ac:dyDescent="0.3">
      <c r="A265" t="s">
        <v>538</v>
      </c>
      <c r="B265" t="s">
        <v>539</v>
      </c>
      <c r="C265" t="s">
        <v>507</v>
      </c>
      <c r="E265" t="s">
        <v>802</v>
      </c>
      <c r="F265">
        <v>1</v>
      </c>
      <c r="G265">
        <v>0.33333299999999999</v>
      </c>
      <c r="H265">
        <v>0.33333299999999999</v>
      </c>
      <c r="I265" t="s">
        <v>728</v>
      </c>
      <c r="J265" t="s">
        <v>807</v>
      </c>
    </row>
    <row r="266" spans="1:10" x14ac:dyDescent="0.3">
      <c r="A266" t="s">
        <v>538</v>
      </c>
      <c r="B266" t="s">
        <v>539</v>
      </c>
      <c r="C266" t="s">
        <v>507</v>
      </c>
      <c r="E266" t="s">
        <v>802</v>
      </c>
      <c r="F266">
        <v>1</v>
      </c>
      <c r="G266">
        <v>0.33333299999999999</v>
      </c>
      <c r="H266">
        <v>0.33333299999999999</v>
      </c>
      <c r="I266" t="s">
        <v>728</v>
      </c>
      <c r="J266" t="s">
        <v>807</v>
      </c>
    </row>
    <row r="267" spans="1:10" x14ac:dyDescent="0.3">
      <c r="A267" t="s">
        <v>538</v>
      </c>
      <c r="B267" t="s">
        <v>539</v>
      </c>
      <c r="C267" t="s">
        <v>507</v>
      </c>
      <c r="E267" t="s">
        <v>808</v>
      </c>
      <c r="F267">
        <v>2</v>
      </c>
      <c r="G267">
        <v>0.33333299999999999</v>
      </c>
      <c r="H267">
        <v>0.33333299999999999</v>
      </c>
      <c r="I267" t="s">
        <v>728</v>
      </c>
      <c r="J267" t="s">
        <v>807</v>
      </c>
    </row>
    <row r="268" spans="1:10" x14ac:dyDescent="0.3">
      <c r="A268" t="s">
        <v>540</v>
      </c>
      <c r="B268" t="s">
        <v>541</v>
      </c>
      <c r="C268" t="s">
        <v>507</v>
      </c>
      <c r="E268" t="s">
        <v>802</v>
      </c>
      <c r="F268">
        <v>1</v>
      </c>
      <c r="G268">
        <v>0.25</v>
      </c>
      <c r="H268">
        <v>0.25</v>
      </c>
      <c r="I268" t="s">
        <v>728</v>
      </c>
      <c r="J268" t="s">
        <v>748</v>
      </c>
    </row>
    <row r="269" spans="1:10" x14ac:dyDescent="0.3">
      <c r="A269" t="s">
        <v>540</v>
      </c>
      <c r="B269" t="s">
        <v>541</v>
      </c>
      <c r="C269" t="s">
        <v>507</v>
      </c>
      <c r="E269" t="s">
        <v>802</v>
      </c>
      <c r="F269">
        <v>1</v>
      </c>
      <c r="G269">
        <v>0.25</v>
      </c>
      <c r="H269">
        <v>0.25</v>
      </c>
      <c r="I269" t="s">
        <v>728</v>
      </c>
      <c r="J269" t="s">
        <v>748</v>
      </c>
    </row>
    <row r="270" spans="1:10" x14ac:dyDescent="0.3">
      <c r="A270" t="s">
        <v>540</v>
      </c>
      <c r="B270" t="s">
        <v>541</v>
      </c>
      <c r="C270" t="s">
        <v>507</v>
      </c>
      <c r="E270" t="s">
        <v>747</v>
      </c>
      <c r="F270">
        <v>1</v>
      </c>
      <c r="G270">
        <v>0.25</v>
      </c>
      <c r="H270">
        <v>0.25</v>
      </c>
      <c r="I270" t="s">
        <v>728</v>
      </c>
      <c r="J270" t="s">
        <v>748</v>
      </c>
    </row>
    <row r="271" spans="1:10" x14ac:dyDescent="0.3">
      <c r="A271" t="s">
        <v>540</v>
      </c>
      <c r="B271" t="s">
        <v>541</v>
      </c>
      <c r="C271" t="s">
        <v>507</v>
      </c>
      <c r="E271" t="s">
        <v>803</v>
      </c>
      <c r="F271">
        <v>1</v>
      </c>
      <c r="G271">
        <v>0.25</v>
      </c>
      <c r="H271">
        <v>0.25</v>
      </c>
      <c r="I271" t="s">
        <v>728</v>
      </c>
      <c r="J271" t="s">
        <v>748</v>
      </c>
    </row>
    <row r="272" spans="1:10" x14ac:dyDescent="0.3">
      <c r="A272" t="s">
        <v>542</v>
      </c>
      <c r="B272" t="s">
        <v>543</v>
      </c>
      <c r="C272" t="s">
        <v>507</v>
      </c>
      <c r="E272" t="s">
        <v>802</v>
      </c>
      <c r="F272">
        <v>1</v>
      </c>
      <c r="G272">
        <v>0.33333299999999999</v>
      </c>
      <c r="H272">
        <v>0.33333299999999999</v>
      </c>
      <c r="I272" t="s">
        <v>728</v>
      </c>
      <c r="J272" t="s">
        <v>806</v>
      </c>
    </row>
    <row r="273" spans="1:10" x14ac:dyDescent="0.3">
      <c r="A273" t="s">
        <v>542</v>
      </c>
      <c r="B273" t="s">
        <v>543</v>
      </c>
      <c r="C273" t="s">
        <v>507</v>
      </c>
      <c r="E273" t="s">
        <v>802</v>
      </c>
      <c r="F273">
        <v>1</v>
      </c>
      <c r="G273">
        <v>0.33333299999999999</v>
      </c>
      <c r="H273">
        <v>0.33333299999999999</v>
      </c>
      <c r="I273" t="s">
        <v>728</v>
      </c>
      <c r="J273" t="s">
        <v>806</v>
      </c>
    </row>
    <row r="274" spans="1:10" x14ac:dyDescent="0.3">
      <c r="A274" t="s">
        <v>542</v>
      </c>
      <c r="B274" t="s">
        <v>543</v>
      </c>
      <c r="C274" t="s">
        <v>507</v>
      </c>
      <c r="E274" t="s">
        <v>747</v>
      </c>
      <c r="F274">
        <v>1</v>
      </c>
      <c r="G274">
        <v>0.33333299999999999</v>
      </c>
      <c r="H274">
        <v>0.33333299999999999</v>
      </c>
      <c r="I274" t="s">
        <v>728</v>
      </c>
      <c r="J274" t="s">
        <v>806</v>
      </c>
    </row>
    <row r="275" spans="1:10" x14ac:dyDescent="0.3">
      <c r="A275" t="s">
        <v>544</v>
      </c>
      <c r="B275" t="s">
        <v>545</v>
      </c>
      <c r="C275" t="s">
        <v>507</v>
      </c>
      <c r="E275" t="s">
        <v>802</v>
      </c>
      <c r="F275">
        <v>1</v>
      </c>
      <c r="G275">
        <v>0.5</v>
      </c>
      <c r="H275">
        <v>0.5</v>
      </c>
      <c r="I275" t="s">
        <v>728</v>
      </c>
      <c r="J275" t="s">
        <v>748</v>
      </c>
    </row>
    <row r="276" spans="1:10" x14ac:dyDescent="0.3">
      <c r="A276" t="s">
        <v>544</v>
      </c>
      <c r="B276" t="s">
        <v>545</v>
      </c>
      <c r="C276" t="s">
        <v>507</v>
      </c>
      <c r="E276" t="s">
        <v>802</v>
      </c>
      <c r="F276">
        <v>1</v>
      </c>
      <c r="G276">
        <v>0.5</v>
      </c>
      <c r="H276">
        <v>0.5</v>
      </c>
      <c r="I276" t="s">
        <v>728</v>
      </c>
      <c r="J276" t="s">
        <v>748</v>
      </c>
    </row>
    <row r="277" spans="1:10" x14ac:dyDescent="0.3">
      <c r="A277" t="s">
        <v>546</v>
      </c>
      <c r="B277" t="s">
        <v>547</v>
      </c>
      <c r="C277" t="s">
        <v>507</v>
      </c>
      <c r="E277" t="s">
        <v>747</v>
      </c>
      <c r="F277">
        <v>3</v>
      </c>
      <c r="G277">
        <v>1</v>
      </c>
      <c r="H277">
        <v>1</v>
      </c>
      <c r="I277" t="s">
        <v>728</v>
      </c>
      <c r="J277" t="s">
        <v>729</v>
      </c>
    </row>
    <row r="278" spans="1:10" x14ac:dyDescent="0.3">
      <c r="A278" t="s">
        <v>548</v>
      </c>
      <c r="B278" t="s">
        <v>549</v>
      </c>
      <c r="C278" t="s">
        <v>507</v>
      </c>
      <c r="E278" t="s">
        <v>802</v>
      </c>
      <c r="F278">
        <v>1</v>
      </c>
      <c r="G278">
        <v>0.25</v>
      </c>
      <c r="H278">
        <v>0.25</v>
      </c>
      <c r="I278" t="s">
        <v>728</v>
      </c>
      <c r="J278" t="s">
        <v>748</v>
      </c>
    </row>
    <row r="279" spans="1:10" x14ac:dyDescent="0.3">
      <c r="A279" t="s">
        <v>548</v>
      </c>
      <c r="B279" t="s">
        <v>549</v>
      </c>
      <c r="C279" t="s">
        <v>507</v>
      </c>
      <c r="E279" t="s">
        <v>747</v>
      </c>
      <c r="F279">
        <v>1</v>
      </c>
      <c r="G279">
        <v>0.25</v>
      </c>
      <c r="H279">
        <v>0.25</v>
      </c>
      <c r="I279" t="s">
        <v>728</v>
      </c>
      <c r="J279" t="s">
        <v>748</v>
      </c>
    </row>
    <row r="280" spans="1:10" x14ac:dyDescent="0.3">
      <c r="A280" t="s">
        <v>548</v>
      </c>
      <c r="B280" t="s">
        <v>549</v>
      </c>
      <c r="C280" t="s">
        <v>507</v>
      </c>
      <c r="E280" t="s">
        <v>791</v>
      </c>
      <c r="F280">
        <v>1</v>
      </c>
      <c r="G280">
        <v>0.25</v>
      </c>
      <c r="H280">
        <v>0.25</v>
      </c>
      <c r="I280" t="s">
        <v>728</v>
      </c>
      <c r="J280" t="s">
        <v>748</v>
      </c>
    </row>
    <row r="281" spans="1:10" x14ac:dyDescent="0.3">
      <c r="A281" t="s">
        <v>548</v>
      </c>
      <c r="B281" t="s">
        <v>549</v>
      </c>
      <c r="C281" t="s">
        <v>507</v>
      </c>
      <c r="E281" t="s">
        <v>803</v>
      </c>
      <c r="F281">
        <v>1</v>
      </c>
      <c r="G281">
        <v>0.25</v>
      </c>
      <c r="H281">
        <v>0.25</v>
      </c>
      <c r="I281" t="s">
        <v>728</v>
      </c>
      <c r="J281" t="s">
        <v>748</v>
      </c>
    </row>
    <row r="282" spans="1:10" x14ac:dyDescent="0.3">
      <c r="A282" t="s">
        <v>550</v>
      </c>
      <c r="B282" t="s">
        <v>551</v>
      </c>
      <c r="C282" t="s">
        <v>507</v>
      </c>
      <c r="E282" t="s">
        <v>802</v>
      </c>
      <c r="F282">
        <v>1</v>
      </c>
      <c r="G282">
        <v>0.33333299999999999</v>
      </c>
      <c r="H282">
        <v>0.33333299999999999</v>
      </c>
      <c r="I282" t="s">
        <v>728</v>
      </c>
      <c r="J282" t="s">
        <v>806</v>
      </c>
    </row>
    <row r="283" spans="1:10" x14ac:dyDescent="0.3">
      <c r="A283" t="s">
        <v>550</v>
      </c>
      <c r="B283" t="s">
        <v>551</v>
      </c>
      <c r="C283" t="s">
        <v>507</v>
      </c>
      <c r="E283" t="s">
        <v>747</v>
      </c>
      <c r="F283">
        <v>1</v>
      </c>
      <c r="G283">
        <v>0.33333299999999999</v>
      </c>
      <c r="H283">
        <v>0.33333299999999999</v>
      </c>
      <c r="I283" t="s">
        <v>728</v>
      </c>
      <c r="J283" t="s">
        <v>806</v>
      </c>
    </row>
    <row r="284" spans="1:10" x14ac:dyDescent="0.3">
      <c r="A284" t="s">
        <v>550</v>
      </c>
      <c r="B284" t="s">
        <v>551</v>
      </c>
      <c r="C284" t="s">
        <v>507</v>
      </c>
      <c r="E284" t="s">
        <v>791</v>
      </c>
      <c r="F284">
        <v>1</v>
      </c>
      <c r="G284">
        <v>0.33333299999999999</v>
      </c>
      <c r="H284">
        <v>0.33333299999999999</v>
      </c>
      <c r="I284" t="s">
        <v>728</v>
      </c>
      <c r="J284" t="s">
        <v>806</v>
      </c>
    </row>
    <row r="285" spans="1:10" x14ac:dyDescent="0.3">
      <c r="A285" t="s">
        <v>554</v>
      </c>
      <c r="B285" t="s">
        <v>555</v>
      </c>
      <c r="C285" t="s">
        <v>507</v>
      </c>
      <c r="D285" t="s">
        <v>702</v>
      </c>
      <c r="E285" t="s">
        <v>703</v>
      </c>
      <c r="F285">
        <v>5</v>
      </c>
      <c r="G285">
        <v>4</v>
      </c>
      <c r="H285">
        <v>1</v>
      </c>
      <c r="I285" t="s">
        <v>734</v>
      </c>
      <c r="J285" t="s">
        <v>809</v>
      </c>
    </row>
    <row r="286" spans="1:10" x14ac:dyDescent="0.3">
      <c r="A286" t="s">
        <v>556</v>
      </c>
      <c r="B286" t="s">
        <v>557</v>
      </c>
      <c r="C286" t="s">
        <v>507</v>
      </c>
      <c r="E286" t="s">
        <v>802</v>
      </c>
      <c r="F286">
        <v>5</v>
      </c>
      <c r="G286">
        <v>1</v>
      </c>
      <c r="H286">
        <v>1</v>
      </c>
      <c r="I286" t="s">
        <v>728</v>
      </c>
      <c r="J286" t="s">
        <v>729</v>
      </c>
    </row>
    <row r="287" spans="1:10" x14ac:dyDescent="0.3">
      <c r="A287" t="s">
        <v>558</v>
      </c>
      <c r="B287" t="s">
        <v>559</v>
      </c>
      <c r="C287" t="s">
        <v>507</v>
      </c>
      <c r="E287" t="s">
        <v>802</v>
      </c>
      <c r="F287">
        <v>4</v>
      </c>
      <c r="G287">
        <v>1</v>
      </c>
      <c r="H287">
        <v>1</v>
      </c>
      <c r="I287" t="s">
        <v>728</v>
      </c>
      <c r="J287" t="s">
        <v>729</v>
      </c>
    </row>
    <row r="288" spans="1:10" x14ac:dyDescent="0.3">
      <c r="A288" t="s">
        <v>560</v>
      </c>
      <c r="B288" t="s">
        <v>561</v>
      </c>
      <c r="C288" t="s">
        <v>507</v>
      </c>
      <c r="E288" t="s">
        <v>802</v>
      </c>
      <c r="F288">
        <v>3</v>
      </c>
      <c r="G288">
        <v>1</v>
      </c>
      <c r="H288">
        <v>1</v>
      </c>
      <c r="I288" t="s">
        <v>728</v>
      </c>
      <c r="J288" t="s">
        <v>729</v>
      </c>
    </row>
    <row r="289" spans="1:10" x14ac:dyDescent="0.3">
      <c r="A289" t="s">
        <v>562</v>
      </c>
      <c r="B289" t="s">
        <v>563</v>
      </c>
      <c r="C289" t="s">
        <v>507</v>
      </c>
      <c r="E289" t="s">
        <v>802</v>
      </c>
      <c r="F289">
        <v>2</v>
      </c>
      <c r="G289">
        <v>1</v>
      </c>
      <c r="H289">
        <v>1</v>
      </c>
      <c r="I289" t="s">
        <v>728</v>
      </c>
      <c r="J289" t="s">
        <v>729</v>
      </c>
    </row>
    <row r="290" spans="1:10" x14ac:dyDescent="0.3">
      <c r="A290" t="s">
        <v>564</v>
      </c>
      <c r="B290" t="s">
        <v>565</v>
      </c>
      <c r="C290" t="s">
        <v>507</v>
      </c>
      <c r="D290" t="s">
        <v>708</v>
      </c>
      <c r="E290" t="s">
        <v>709</v>
      </c>
      <c r="F290">
        <v>4</v>
      </c>
      <c r="G290">
        <v>2</v>
      </c>
      <c r="H290">
        <v>1</v>
      </c>
      <c r="I290" t="s">
        <v>734</v>
      </c>
      <c r="J290" t="s">
        <v>810</v>
      </c>
    </row>
    <row r="291" spans="1:10" x14ac:dyDescent="0.3">
      <c r="A291" t="s">
        <v>566</v>
      </c>
      <c r="B291" t="s">
        <v>567</v>
      </c>
      <c r="C291" t="s">
        <v>507</v>
      </c>
      <c r="E291" t="s">
        <v>802</v>
      </c>
      <c r="F291">
        <v>1</v>
      </c>
      <c r="G291">
        <v>0.33333299999999999</v>
      </c>
      <c r="H291">
        <v>0.33333299999999999</v>
      </c>
      <c r="I291" t="s">
        <v>728</v>
      </c>
      <c r="J291" t="s">
        <v>807</v>
      </c>
    </row>
    <row r="292" spans="1:10" x14ac:dyDescent="0.3">
      <c r="A292" t="s">
        <v>566</v>
      </c>
      <c r="B292" t="s">
        <v>567</v>
      </c>
      <c r="C292" t="s">
        <v>507</v>
      </c>
      <c r="E292" t="s">
        <v>808</v>
      </c>
      <c r="F292">
        <v>2</v>
      </c>
      <c r="G292">
        <v>0.33333299999999999</v>
      </c>
      <c r="H292">
        <v>0.33333299999999999</v>
      </c>
      <c r="I292" t="s">
        <v>728</v>
      </c>
      <c r="J292" t="s">
        <v>807</v>
      </c>
    </row>
    <row r="293" spans="1:10" x14ac:dyDescent="0.3">
      <c r="A293" t="s">
        <v>566</v>
      </c>
      <c r="B293" t="s">
        <v>567</v>
      </c>
      <c r="C293" t="s">
        <v>507</v>
      </c>
      <c r="E293" t="s">
        <v>802</v>
      </c>
      <c r="F293">
        <v>1</v>
      </c>
      <c r="G293">
        <v>0.33333299999999999</v>
      </c>
      <c r="H293">
        <v>0.33333299999999999</v>
      </c>
      <c r="I293" t="s">
        <v>728</v>
      </c>
      <c r="J293" t="s">
        <v>807</v>
      </c>
    </row>
    <row r="294" spans="1:10" x14ac:dyDescent="0.3">
      <c r="A294" t="s">
        <v>568</v>
      </c>
      <c r="B294" t="s">
        <v>569</v>
      </c>
      <c r="C294" t="s">
        <v>507</v>
      </c>
      <c r="E294" t="s">
        <v>802</v>
      </c>
      <c r="F294">
        <v>1</v>
      </c>
      <c r="G294">
        <v>0.5</v>
      </c>
      <c r="H294">
        <v>0.5</v>
      </c>
      <c r="I294" t="s">
        <v>728</v>
      </c>
      <c r="J294" t="s">
        <v>748</v>
      </c>
    </row>
    <row r="295" spans="1:10" x14ac:dyDescent="0.3">
      <c r="A295" t="s">
        <v>568</v>
      </c>
      <c r="B295" t="s">
        <v>569</v>
      </c>
      <c r="C295" t="s">
        <v>507</v>
      </c>
      <c r="E295" t="s">
        <v>808</v>
      </c>
      <c r="F295">
        <v>2</v>
      </c>
      <c r="G295">
        <v>0.5</v>
      </c>
      <c r="H295">
        <v>0.5</v>
      </c>
      <c r="I295" t="s">
        <v>728</v>
      </c>
      <c r="J295" t="s">
        <v>748</v>
      </c>
    </row>
    <row r="296" spans="1:10" x14ac:dyDescent="0.3">
      <c r="A296" t="s">
        <v>570</v>
      </c>
      <c r="B296" t="s">
        <v>571</v>
      </c>
      <c r="C296" t="s">
        <v>507</v>
      </c>
      <c r="E296" t="s">
        <v>802</v>
      </c>
      <c r="F296">
        <v>1</v>
      </c>
      <c r="G296">
        <v>0.5</v>
      </c>
      <c r="H296">
        <v>0.5</v>
      </c>
      <c r="I296" t="s">
        <v>728</v>
      </c>
      <c r="J296" t="s">
        <v>748</v>
      </c>
    </row>
    <row r="297" spans="1:10" x14ac:dyDescent="0.3">
      <c r="A297" t="s">
        <v>570</v>
      </c>
      <c r="B297" t="s">
        <v>571</v>
      </c>
      <c r="C297" t="s">
        <v>507</v>
      </c>
      <c r="E297" t="s">
        <v>747</v>
      </c>
      <c r="F297">
        <v>1</v>
      </c>
      <c r="G297">
        <v>0.5</v>
      </c>
      <c r="H297">
        <v>0.5</v>
      </c>
      <c r="I297" t="s">
        <v>728</v>
      </c>
      <c r="J297" t="s">
        <v>748</v>
      </c>
    </row>
    <row r="298" spans="1:10" x14ac:dyDescent="0.3">
      <c r="A298" t="s">
        <v>572</v>
      </c>
      <c r="B298" t="s">
        <v>573</v>
      </c>
      <c r="C298" t="s">
        <v>507</v>
      </c>
      <c r="E298" t="s">
        <v>802</v>
      </c>
      <c r="F298">
        <v>1</v>
      </c>
      <c r="G298">
        <v>0.5</v>
      </c>
      <c r="H298">
        <v>0.5</v>
      </c>
      <c r="I298" t="s">
        <v>728</v>
      </c>
      <c r="J298" t="s">
        <v>748</v>
      </c>
    </row>
    <row r="299" spans="1:10" x14ac:dyDescent="0.3">
      <c r="A299" t="s">
        <v>572</v>
      </c>
      <c r="B299" t="s">
        <v>573</v>
      </c>
      <c r="C299" t="s">
        <v>507</v>
      </c>
      <c r="E299" t="s">
        <v>811</v>
      </c>
      <c r="F299">
        <v>2</v>
      </c>
      <c r="G299">
        <v>0.5</v>
      </c>
      <c r="H299">
        <v>0.5</v>
      </c>
      <c r="I299" t="s">
        <v>728</v>
      </c>
      <c r="J299" t="s">
        <v>748</v>
      </c>
    </row>
    <row r="300" spans="1:10" x14ac:dyDescent="0.3">
      <c r="A300" t="s">
        <v>574</v>
      </c>
      <c r="B300" t="s">
        <v>575</v>
      </c>
      <c r="C300" t="s">
        <v>507</v>
      </c>
      <c r="E300" t="s">
        <v>802</v>
      </c>
      <c r="F300">
        <v>1</v>
      </c>
      <c r="G300">
        <v>0.5</v>
      </c>
      <c r="H300">
        <v>0.5</v>
      </c>
      <c r="I300" t="s">
        <v>728</v>
      </c>
      <c r="J300" t="s">
        <v>748</v>
      </c>
    </row>
    <row r="301" spans="1:10" x14ac:dyDescent="0.3">
      <c r="A301" t="s">
        <v>574</v>
      </c>
      <c r="B301" t="s">
        <v>575</v>
      </c>
      <c r="C301" t="s">
        <v>507</v>
      </c>
      <c r="E301" t="s">
        <v>802</v>
      </c>
      <c r="F301">
        <v>1</v>
      </c>
      <c r="G301">
        <v>0.5</v>
      </c>
      <c r="H301">
        <v>0.5</v>
      </c>
      <c r="I301" t="s">
        <v>728</v>
      </c>
      <c r="J301" t="s">
        <v>748</v>
      </c>
    </row>
    <row r="302" spans="1:10" x14ac:dyDescent="0.3">
      <c r="A302" t="s">
        <v>576</v>
      </c>
      <c r="B302" t="s">
        <v>577</v>
      </c>
      <c r="C302" t="s">
        <v>507</v>
      </c>
      <c r="E302" t="s">
        <v>803</v>
      </c>
      <c r="F302">
        <v>7</v>
      </c>
      <c r="G302">
        <v>1</v>
      </c>
      <c r="H302">
        <v>1</v>
      </c>
      <c r="I302" t="s">
        <v>728</v>
      </c>
      <c r="J302" t="s">
        <v>729</v>
      </c>
    </row>
    <row r="303" spans="1:10" x14ac:dyDescent="0.3">
      <c r="A303" t="s">
        <v>578</v>
      </c>
      <c r="B303" t="s">
        <v>579</v>
      </c>
      <c r="C303" t="s">
        <v>507</v>
      </c>
      <c r="E303" t="s">
        <v>803</v>
      </c>
      <c r="F303">
        <v>5</v>
      </c>
      <c r="G303">
        <v>1</v>
      </c>
      <c r="H303">
        <v>1</v>
      </c>
      <c r="I303" t="s">
        <v>728</v>
      </c>
      <c r="J303" t="s">
        <v>729</v>
      </c>
    </row>
    <row r="304" spans="1:10" x14ac:dyDescent="0.3">
      <c r="A304" t="s">
        <v>580</v>
      </c>
      <c r="B304" t="s">
        <v>581</v>
      </c>
      <c r="C304" t="s">
        <v>507</v>
      </c>
      <c r="E304" t="s">
        <v>803</v>
      </c>
      <c r="F304">
        <v>3</v>
      </c>
      <c r="G304">
        <v>1</v>
      </c>
      <c r="H304">
        <v>1</v>
      </c>
      <c r="I304" t="s">
        <v>728</v>
      </c>
      <c r="J304" t="s">
        <v>729</v>
      </c>
    </row>
    <row r="305" spans="1:10" x14ac:dyDescent="0.3">
      <c r="A305" t="s">
        <v>582</v>
      </c>
      <c r="B305" t="s">
        <v>583</v>
      </c>
      <c r="C305" t="s">
        <v>507</v>
      </c>
      <c r="E305" t="s">
        <v>803</v>
      </c>
      <c r="F305">
        <v>2</v>
      </c>
      <c r="G305">
        <v>1</v>
      </c>
      <c r="H305">
        <v>1</v>
      </c>
      <c r="I305" t="s">
        <v>728</v>
      </c>
      <c r="J305" t="s">
        <v>729</v>
      </c>
    </row>
    <row r="306" spans="1:10" x14ac:dyDescent="0.3">
      <c r="A306" t="s">
        <v>584</v>
      </c>
      <c r="B306" t="s">
        <v>585</v>
      </c>
      <c r="C306" t="s">
        <v>507</v>
      </c>
      <c r="E306" t="s">
        <v>805</v>
      </c>
      <c r="F306">
        <v>2</v>
      </c>
      <c r="G306">
        <v>0.5</v>
      </c>
      <c r="H306">
        <v>0.5</v>
      </c>
      <c r="I306" t="s">
        <v>728</v>
      </c>
      <c r="J306" t="s">
        <v>748</v>
      </c>
    </row>
    <row r="307" spans="1:10" x14ac:dyDescent="0.3">
      <c r="A307" t="s">
        <v>584</v>
      </c>
      <c r="B307" t="s">
        <v>585</v>
      </c>
      <c r="C307" t="s">
        <v>507</v>
      </c>
      <c r="E307" t="s">
        <v>747</v>
      </c>
      <c r="F307">
        <v>1</v>
      </c>
      <c r="G307">
        <v>0.5</v>
      </c>
      <c r="H307">
        <v>0.5</v>
      </c>
      <c r="I307" t="s">
        <v>728</v>
      </c>
      <c r="J307" t="s">
        <v>748</v>
      </c>
    </row>
    <row r="308" spans="1:10" x14ac:dyDescent="0.3">
      <c r="A308" t="s">
        <v>586</v>
      </c>
      <c r="B308" t="s">
        <v>587</v>
      </c>
      <c r="C308" t="s">
        <v>507</v>
      </c>
      <c r="E308" t="s">
        <v>805</v>
      </c>
      <c r="F308">
        <v>4</v>
      </c>
      <c r="G308">
        <v>0.5</v>
      </c>
      <c r="H308">
        <v>0.5</v>
      </c>
      <c r="I308" t="s">
        <v>728</v>
      </c>
      <c r="J308" t="s">
        <v>748</v>
      </c>
    </row>
    <row r="309" spans="1:10" x14ac:dyDescent="0.3">
      <c r="A309" t="s">
        <v>586</v>
      </c>
      <c r="B309" t="s">
        <v>587</v>
      </c>
      <c r="C309" t="s">
        <v>507</v>
      </c>
      <c r="E309" t="s">
        <v>802</v>
      </c>
      <c r="F309">
        <v>1</v>
      </c>
      <c r="G309">
        <v>0.5</v>
      </c>
      <c r="H309">
        <v>0.5</v>
      </c>
      <c r="I309" t="s">
        <v>728</v>
      </c>
      <c r="J309" t="s">
        <v>748</v>
      </c>
    </row>
    <row r="310" spans="1:10" x14ac:dyDescent="0.3">
      <c r="A310" t="s">
        <v>588</v>
      </c>
      <c r="B310" t="s">
        <v>589</v>
      </c>
      <c r="C310" t="s">
        <v>507</v>
      </c>
      <c r="D310" t="s">
        <v>682</v>
      </c>
      <c r="E310" t="s">
        <v>683</v>
      </c>
      <c r="F310">
        <v>3</v>
      </c>
      <c r="G310">
        <v>2</v>
      </c>
      <c r="H310">
        <v>1</v>
      </c>
      <c r="I310" t="s">
        <v>734</v>
      </c>
      <c r="J310" t="s">
        <v>812</v>
      </c>
    </row>
    <row r="311" spans="1:10" x14ac:dyDescent="0.3">
      <c r="A311" t="s">
        <v>590</v>
      </c>
      <c r="B311" t="s">
        <v>591</v>
      </c>
      <c r="C311" t="s">
        <v>507</v>
      </c>
      <c r="F311">
        <v>5</v>
      </c>
      <c r="G311">
        <v>1</v>
      </c>
      <c r="H311">
        <v>1</v>
      </c>
      <c r="I311" t="s">
        <v>728</v>
      </c>
      <c r="J311" t="s">
        <v>730</v>
      </c>
    </row>
    <row r="312" spans="1:10" x14ac:dyDescent="0.3">
      <c r="A312" t="s">
        <v>592</v>
      </c>
      <c r="B312" t="s">
        <v>593</v>
      </c>
      <c r="C312" t="s">
        <v>507</v>
      </c>
      <c r="F312">
        <v>4</v>
      </c>
      <c r="G312">
        <v>1</v>
      </c>
      <c r="H312">
        <v>1</v>
      </c>
      <c r="I312" t="s">
        <v>728</v>
      </c>
      <c r="J312" t="s">
        <v>730</v>
      </c>
    </row>
    <row r="313" spans="1:10" x14ac:dyDescent="0.3">
      <c r="A313" t="s">
        <v>594</v>
      </c>
      <c r="B313" t="s">
        <v>595</v>
      </c>
      <c r="C313" t="s">
        <v>507</v>
      </c>
      <c r="E313" t="s">
        <v>803</v>
      </c>
      <c r="F313">
        <v>1</v>
      </c>
      <c r="G313">
        <v>0.5</v>
      </c>
      <c r="H313">
        <v>0.5</v>
      </c>
      <c r="I313" t="s">
        <v>728</v>
      </c>
      <c r="J313" t="s">
        <v>748</v>
      </c>
    </row>
    <row r="314" spans="1:10" x14ac:dyDescent="0.3">
      <c r="A314" t="s">
        <v>594</v>
      </c>
      <c r="B314" t="s">
        <v>595</v>
      </c>
      <c r="C314" t="s">
        <v>507</v>
      </c>
      <c r="E314" t="s">
        <v>802</v>
      </c>
      <c r="F314">
        <v>1</v>
      </c>
      <c r="G314">
        <v>0.5</v>
      </c>
      <c r="H314">
        <v>0.5</v>
      </c>
      <c r="I314" t="s">
        <v>728</v>
      </c>
      <c r="J314" t="s">
        <v>748</v>
      </c>
    </row>
    <row r="315" spans="1:10" x14ac:dyDescent="0.3">
      <c r="A315" t="s">
        <v>596</v>
      </c>
      <c r="B315" t="s">
        <v>597</v>
      </c>
      <c r="C315" t="s">
        <v>507</v>
      </c>
      <c r="E315" t="s">
        <v>803</v>
      </c>
      <c r="F315">
        <v>1</v>
      </c>
      <c r="G315">
        <v>0.5</v>
      </c>
      <c r="H315">
        <v>0.5</v>
      </c>
      <c r="I315" t="s">
        <v>728</v>
      </c>
      <c r="J315" t="s">
        <v>748</v>
      </c>
    </row>
    <row r="316" spans="1:10" x14ac:dyDescent="0.3">
      <c r="A316" t="s">
        <v>596</v>
      </c>
      <c r="B316" t="s">
        <v>597</v>
      </c>
      <c r="C316" t="s">
        <v>507</v>
      </c>
      <c r="E316" t="s">
        <v>813</v>
      </c>
      <c r="F316">
        <v>1</v>
      </c>
      <c r="G316">
        <v>0.5</v>
      </c>
      <c r="H316">
        <v>0.5</v>
      </c>
      <c r="I316" t="s">
        <v>728</v>
      </c>
      <c r="J316" t="s">
        <v>748</v>
      </c>
    </row>
    <row r="317" spans="1:10" x14ac:dyDescent="0.3">
      <c r="A317" t="s">
        <v>598</v>
      </c>
      <c r="B317" t="s">
        <v>599</v>
      </c>
      <c r="C317" t="s">
        <v>507</v>
      </c>
      <c r="E317" t="s">
        <v>803</v>
      </c>
      <c r="F317">
        <v>1</v>
      </c>
      <c r="G317">
        <v>0.5</v>
      </c>
      <c r="H317">
        <v>0.5</v>
      </c>
      <c r="I317" t="s">
        <v>728</v>
      </c>
      <c r="J317" t="s">
        <v>748</v>
      </c>
    </row>
    <row r="318" spans="1:10" x14ac:dyDescent="0.3">
      <c r="A318" t="s">
        <v>598</v>
      </c>
      <c r="B318" t="s">
        <v>599</v>
      </c>
      <c r="C318" t="s">
        <v>507</v>
      </c>
      <c r="E318" t="s">
        <v>803</v>
      </c>
      <c r="F318">
        <v>1</v>
      </c>
      <c r="G318">
        <v>0.5</v>
      </c>
      <c r="H318">
        <v>0.5</v>
      </c>
      <c r="I318" t="s">
        <v>728</v>
      </c>
      <c r="J318" t="s">
        <v>748</v>
      </c>
    </row>
    <row r="319" spans="1:10" x14ac:dyDescent="0.3">
      <c r="A319" t="s">
        <v>600</v>
      </c>
      <c r="B319" t="s">
        <v>601</v>
      </c>
      <c r="C319" t="s">
        <v>507</v>
      </c>
      <c r="E319" t="s">
        <v>803</v>
      </c>
      <c r="F319">
        <v>1</v>
      </c>
      <c r="G319">
        <v>0.5</v>
      </c>
      <c r="H319">
        <v>0.5</v>
      </c>
      <c r="I319" t="s">
        <v>728</v>
      </c>
      <c r="J319" t="s">
        <v>748</v>
      </c>
    </row>
    <row r="320" spans="1:10" x14ac:dyDescent="0.3">
      <c r="A320" t="s">
        <v>600</v>
      </c>
      <c r="B320" t="s">
        <v>601</v>
      </c>
      <c r="C320" t="s">
        <v>507</v>
      </c>
      <c r="E320" t="s">
        <v>808</v>
      </c>
      <c r="F320">
        <v>2</v>
      </c>
      <c r="G320">
        <v>0.5</v>
      </c>
      <c r="H320">
        <v>0.5</v>
      </c>
      <c r="I320" t="s">
        <v>728</v>
      </c>
      <c r="J320" t="s">
        <v>748</v>
      </c>
    </row>
    <row r="321" spans="1:10" x14ac:dyDescent="0.3">
      <c r="A321" t="s">
        <v>602</v>
      </c>
      <c r="B321" t="s">
        <v>603</v>
      </c>
      <c r="C321" t="s">
        <v>507</v>
      </c>
      <c r="E321" t="s">
        <v>803</v>
      </c>
      <c r="F321">
        <v>1</v>
      </c>
      <c r="G321">
        <v>0.5</v>
      </c>
      <c r="H321">
        <v>0.5</v>
      </c>
      <c r="I321" t="s">
        <v>728</v>
      </c>
      <c r="J321" t="s">
        <v>748</v>
      </c>
    </row>
    <row r="322" spans="1:10" x14ac:dyDescent="0.3">
      <c r="A322" t="s">
        <v>602</v>
      </c>
      <c r="B322" t="s">
        <v>603</v>
      </c>
      <c r="C322" t="s">
        <v>507</v>
      </c>
      <c r="E322" t="s">
        <v>747</v>
      </c>
      <c r="F322">
        <v>1</v>
      </c>
      <c r="G322">
        <v>0.5</v>
      </c>
      <c r="H322">
        <v>0.5</v>
      </c>
      <c r="I322" t="s">
        <v>728</v>
      </c>
      <c r="J322" t="s">
        <v>748</v>
      </c>
    </row>
    <row r="323" spans="1:10" x14ac:dyDescent="0.3">
      <c r="A323" t="s">
        <v>604</v>
      </c>
      <c r="B323" t="s">
        <v>605</v>
      </c>
      <c r="C323" t="s">
        <v>507</v>
      </c>
      <c r="E323" t="s">
        <v>803</v>
      </c>
      <c r="F323">
        <v>1</v>
      </c>
      <c r="G323">
        <v>0.5</v>
      </c>
      <c r="H323">
        <v>0.5</v>
      </c>
      <c r="I323" t="s">
        <v>728</v>
      </c>
      <c r="J323" t="s">
        <v>748</v>
      </c>
    </row>
    <row r="324" spans="1:10" x14ac:dyDescent="0.3">
      <c r="A324" t="s">
        <v>604</v>
      </c>
      <c r="B324" t="s">
        <v>605</v>
      </c>
      <c r="C324" t="s">
        <v>507</v>
      </c>
      <c r="E324" t="s">
        <v>802</v>
      </c>
      <c r="F324">
        <v>1</v>
      </c>
      <c r="G324">
        <v>0.5</v>
      </c>
      <c r="H324">
        <v>0.5</v>
      </c>
      <c r="I324" t="s">
        <v>728</v>
      </c>
      <c r="J324" t="s">
        <v>748</v>
      </c>
    </row>
    <row r="325" spans="1:10" x14ac:dyDescent="0.3">
      <c r="A325" t="s">
        <v>606</v>
      </c>
      <c r="B325" t="s">
        <v>607</v>
      </c>
      <c r="C325" t="s">
        <v>507</v>
      </c>
      <c r="E325" t="s">
        <v>803</v>
      </c>
      <c r="F325">
        <v>1</v>
      </c>
      <c r="G325">
        <v>0.5</v>
      </c>
      <c r="H325">
        <v>0.5</v>
      </c>
      <c r="I325" t="s">
        <v>728</v>
      </c>
      <c r="J325" t="s">
        <v>748</v>
      </c>
    </row>
    <row r="326" spans="1:10" x14ac:dyDescent="0.3">
      <c r="A326" t="s">
        <v>606</v>
      </c>
      <c r="B326" t="s">
        <v>607</v>
      </c>
      <c r="C326" t="s">
        <v>507</v>
      </c>
      <c r="E326" t="s">
        <v>791</v>
      </c>
      <c r="F326">
        <v>1</v>
      </c>
      <c r="G326">
        <v>0.5</v>
      </c>
      <c r="H326">
        <v>0.5</v>
      </c>
      <c r="I326" t="s">
        <v>728</v>
      </c>
      <c r="J326" t="s">
        <v>748</v>
      </c>
    </row>
    <row r="327" spans="1:10" x14ac:dyDescent="0.3">
      <c r="A327" t="s">
        <v>608</v>
      </c>
      <c r="B327" t="s">
        <v>609</v>
      </c>
      <c r="C327" t="s">
        <v>507</v>
      </c>
      <c r="F327">
        <v>2</v>
      </c>
      <c r="G327">
        <v>1</v>
      </c>
      <c r="H327">
        <v>1</v>
      </c>
      <c r="I327" t="s">
        <v>728</v>
      </c>
      <c r="J327" t="s">
        <v>730</v>
      </c>
    </row>
    <row r="328" spans="1:10" x14ac:dyDescent="0.3">
      <c r="A328" t="s">
        <v>610</v>
      </c>
      <c r="B328" t="s">
        <v>611</v>
      </c>
      <c r="C328" t="s">
        <v>507</v>
      </c>
      <c r="E328" t="s">
        <v>747</v>
      </c>
      <c r="F328">
        <v>1</v>
      </c>
      <c r="G328">
        <v>0.5</v>
      </c>
      <c r="H328">
        <v>0.5</v>
      </c>
      <c r="I328" t="s">
        <v>728</v>
      </c>
      <c r="J328" t="s">
        <v>748</v>
      </c>
    </row>
    <row r="329" spans="1:10" x14ac:dyDescent="0.3">
      <c r="A329" t="s">
        <v>610</v>
      </c>
      <c r="B329" t="s">
        <v>611</v>
      </c>
      <c r="C329" t="s">
        <v>507</v>
      </c>
      <c r="E329" t="s">
        <v>802</v>
      </c>
      <c r="F329">
        <v>1</v>
      </c>
      <c r="G329">
        <v>0.5</v>
      </c>
      <c r="H329">
        <v>0.5</v>
      </c>
      <c r="I329" t="s">
        <v>728</v>
      </c>
      <c r="J329" t="s">
        <v>748</v>
      </c>
    </row>
    <row r="330" spans="1:10" x14ac:dyDescent="0.3">
      <c r="A330" t="s">
        <v>612</v>
      </c>
      <c r="B330" t="s">
        <v>613</v>
      </c>
      <c r="C330" t="s">
        <v>507</v>
      </c>
      <c r="D330" t="s">
        <v>696</v>
      </c>
      <c r="E330" t="s">
        <v>697</v>
      </c>
      <c r="F330">
        <v>5</v>
      </c>
      <c r="G330">
        <v>5</v>
      </c>
      <c r="H330">
        <v>1</v>
      </c>
      <c r="I330" t="s">
        <v>734</v>
      </c>
      <c r="J330" t="s">
        <v>777</v>
      </c>
    </row>
    <row r="331" spans="1:10" x14ac:dyDescent="0.3">
      <c r="A331" t="s">
        <v>614</v>
      </c>
      <c r="B331" t="s">
        <v>615</v>
      </c>
      <c r="C331" t="s">
        <v>507</v>
      </c>
      <c r="E331" t="s">
        <v>747</v>
      </c>
      <c r="F331">
        <v>2</v>
      </c>
      <c r="G331">
        <v>0.5</v>
      </c>
      <c r="H331">
        <v>0.5</v>
      </c>
      <c r="I331" t="s">
        <v>728</v>
      </c>
      <c r="J331" t="s">
        <v>748</v>
      </c>
    </row>
    <row r="332" spans="1:10" x14ac:dyDescent="0.3">
      <c r="A332" t="s">
        <v>614</v>
      </c>
      <c r="B332" t="s">
        <v>615</v>
      </c>
      <c r="C332" t="s">
        <v>507</v>
      </c>
      <c r="E332" t="s">
        <v>802</v>
      </c>
      <c r="F332">
        <v>2</v>
      </c>
      <c r="G332">
        <v>0.5</v>
      </c>
      <c r="H332">
        <v>0.5</v>
      </c>
      <c r="I332" t="s">
        <v>728</v>
      </c>
      <c r="J332" t="s">
        <v>748</v>
      </c>
    </row>
    <row r="333" spans="1:10" x14ac:dyDescent="0.3">
      <c r="A333" t="s">
        <v>616</v>
      </c>
      <c r="B333" t="s">
        <v>617</v>
      </c>
      <c r="C333" t="s">
        <v>507</v>
      </c>
      <c r="E333" t="s">
        <v>747</v>
      </c>
      <c r="F333">
        <v>2</v>
      </c>
      <c r="G333">
        <v>1</v>
      </c>
      <c r="H333">
        <v>1</v>
      </c>
      <c r="I333" t="s">
        <v>728</v>
      </c>
      <c r="J333" t="s">
        <v>729</v>
      </c>
    </row>
    <row r="334" spans="1:10" x14ac:dyDescent="0.3">
      <c r="A334" t="s">
        <v>618</v>
      </c>
      <c r="B334" t="s">
        <v>619</v>
      </c>
      <c r="C334" t="s">
        <v>507</v>
      </c>
      <c r="E334" t="s">
        <v>747</v>
      </c>
      <c r="F334">
        <v>1</v>
      </c>
      <c r="G334">
        <v>0.5</v>
      </c>
      <c r="H334">
        <v>0.5</v>
      </c>
      <c r="I334" t="s">
        <v>728</v>
      </c>
      <c r="J334" t="s">
        <v>748</v>
      </c>
    </row>
    <row r="335" spans="1:10" x14ac:dyDescent="0.3">
      <c r="A335" t="s">
        <v>618</v>
      </c>
      <c r="B335" t="s">
        <v>619</v>
      </c>
      <c r="C335" t="s">
        <v>507</v>
      </c>
      <c r="E335" t="s">
        <v>803</v>
      </c>
      <c r="F335">
        <v>1</v>
      </c>
      <c r="G335">
        <v>0.5</v>
      </c>
      <c r="H335">
        <v>0.5</v>
      </c>
      <c r="I335" t="s">
        <v>728</v>
      </c>
      <c r="J335" t="s">
        <v>748</v>
      </c>
    </row>
    <row r="336" spans="1:10" x14ac:dyDescent="0.3">
      <c r="A336" t="s">
        <v>620</v>
      </c>
      <c r="B336" t="s">
        <v>621</v>
      </c>
      <c r="C336" t="s">
        <v>507</v>
      </c>
      <c r="E336" t="s">
        <v>747</v>
      </c>
      <c r="F336">
        <v>1</v>
      </c>
      <c r="G336">
        <v>0.5</v>
      </c>
      <c r="H336">
        <v>0.5</v>
      </c>
      <c r="I336" t="s">
        <v>728</v>
      </c>
      <c r="J336" t="s">
        <v>748</v>
      </c>
    </row>
    <row r="337" spans="1:10" x14ac:dyDescent="0.3">
      <c r="A337" t="s">
        <v>620</v>
      </c>
      <c r="B337" t="s">
        <v>621</v>
      </c>
      <c r="C337" t="s">
        <v>507</v>
      </c>
      <c r="E337" t="s">
        <v>802</v>
      </c>
      <c r="F337">
        <v>1</v>
      </c>
      <c r="G337">
        <v>0.5</v>
      </c>
      <c r="H337">
        <v>0.5</v>
      </c>
      <c r="I337" t="s">
        <v>728</v>
      </c>
      <c r="J337" t="s">
        <v>748</v>
      </c>
    </row>
    <row r="338" spans="1:10" x14ac:dyDescent="0.3">
      <c r="A338" t="s">
        <v>622</v>
      </c>
      <c r="B338" t="s">
        <v>623</v>
      </c>
      <c r="C338" t="s">
        <v>507</v>
      </c>
      <c r="E338" t="s">
        <v>814</v>
      </c>
      <c r="F338">
        <v>1</v>
      </c>
      <c r="G338">
        <v>1</v>
      </c>
      <c r="H338">
        <v>1</v>
      </c>
      <c r="I338" t="s">
        <v>728</v>
      </c>
      <c r="J338" t="s">
        <v>729</v>
      </c>
    </row>
    <row r="339" spans="1:10" x14ac:dyDescent="0.3">
      <c r="A339" t="s">
        <v>624</v>
      </c>
      <c r="B339" t="s">
        <v>625</v>
      </c>
      <c r="C339" t="s">
        <v>507</v>
      </c>
      <c r="E339" t="s">
        <v>815</v>
      </c>
      <c r="F339">
        <v>5</v>
      </c>
      <c r="G339">
        <v>1</v>
      </c>
      <c r="H339">
        <v>1</v>
      </c>
      <c r="I339" t="s">
        <v>728</v>
      </c>
      <c r="J339" t="s">
        <v>729</v>
      </c>
    </row>
    <row r="340" spans="1:10" x14ac:dyDescent="0.3">
      <c r="A340" t="s">
        <v>626</v>
      </c>
      <c r="B340" t="s">
        <v>627</v>
      </c>
      <c r="C340" t="s">
        <v>507</v>
      </c>
      <c r="E340" t="s">
        <v>802</v>
      </c>
      <c r="F340">
        <v>1</v>
      </c>
      <c r="G340">
        <v>0.5</v>
      </c>
      <c r="H340">
        <v>0.5</v>
      </c>
      <c r="I340" t="s">
        <v>728</v>
      </c>
      <c r="J340" t="s">
        <v>748</v>
      </c>
    </row>
    <row r="341" spans="1:10" x14ac:dyDescent="0.3">
      <c r="A341" t="s">
        <v>626</v>
      </c>
      <c r="B341" t="s">
        <v>627</v>
      </c>
      <c r="C341" t="s">
        <v>507</v>
      </c>
      <c r="E341" t="s">
        <v>803</v>
      </c>
      <c r="F341">
        <v>1</v>
      </c>
      <c r="G341">
        <v>0.5</v>
      </c>
      <c r="H341">
        <v>0.5</v>
      </c>
      <c r="I341" t="s">
        <v>728</v>
      </c>
      <c r="J341" t="s">
        <v>748</v>
      </c>
    </row>
    <row r="342" spans="1:10" x14ac:dyDescent="0.3">
      <c r="A342" t="s">
        <v>628</v>
      </c>
      <c r="B342" t="s">
        <v>629</v>
      </c>
      <c r="C342" t="s">
        <v>507</v>
      </c>
      <c r="E342" t="s">
        <v>802</v>
      </c>
      <c r="F342">
        <v>3</v>
      </c>
      <c r="G342">
        <v>1</v>
      </c>
      <c r="H342">
        <v>1</v>
      </c>
      <c r="I342" t="s">
        <v>728</v>
      </c>
      <c r="J342" t="s">
        <v>729</v>
      </c>
    </row>
    <row r="343" spans="1:10" x14ac:dyDescent="0.3">
      <c r="A343" t="s">
        <v>630</v>
      </c>
      <c r="B343" t="s">
        <v>631</v>
      </c>
      <c r="C343" t="s">
        <v>507</v>
      </c>
      <c r="E343" t="s">
        <v>802</v>
      </c>
      <c r="F343">
        <v>2</v>
      </c>
      <c r="G343">
        <v>1</v>
      </c>
      <c r="H343">
        <v>1</v>
      </c>
      <c r="I343" t="s">
        <v>728</v>
      </c>
      <c r="J343" t="s">
        <v>729</v>
      </c>
    </row>
    <row r="344" spans="1:10" x14ac:dyDescent="0.3">
      <c r="A344" t="s">
        <v>632</v>
      </c>
      <c r="B344" t="s">
        <v>633</v>
      </c>
      <c r="C344" t="s">
        <v>507</v>
      </c>
      <c r="E344" t="s">
        <v>802</v>
      </c>
      <c r="F344">
        <v>1</v>
      </c>
      <c r="G344">
        <v>0.5</v>
      </c>
      <c r="H344">
        <v>0.5</v>
      </c>
      <c r="I344" t="s">
        <v>728</v>
      </c>
      <c r="J344" t="s">
        <v>748</v>
      </c>
    </row>
    <row r="345" spans="1:10" x14ac:dyDescent="0.3">
      <c r="A345" t="s">
        <v>632</v>
      </c>
      <c r="B345" t="s">
        <v>633</v>
      </c>
      <c r="C345" t="s">
        <v>507</v>
      </c>
      <c r="E345" t="s">
        <v>791</v>
      </c>
      <c r="F345">
        <v>1</v>
      </c>
      <c r="G345">
        <v>0.5</v>
      </c>
      <c r="H345">
        <v>0.5</v>
      </c>
      <c r="I345" t="s">
        <v>728</v>
      </c>
      <c r="J345" t="s">
        <v>748</v>
      </c>
    </row>
    <row r="346" spans="1:10" x14ac:dyDescent="0.3">
      <c r="A346" t="s">
        <v>634</v>
      </c>
      <c r="B346" t="s">
        <v>635</v>
      </c>
      <c r="C346" t="s">
        <v>507</v>
      </c>
      <c r="D346" t="s">
        <v>696</v>
      </c>
      <c r="E346" t="s">
        <v>697</v>
      </c>
      <c r="F346">
        <v>4</v>
      </c>
      <c r="G346">
        <v>1</v>
      </c>
      <c r="H346">
        <v>1</v>
      </c>
      <c r="I346" t="s">
        <v>734</v>
      </c>
      <c r="J346" t="s">
        <v>816</v>
      </c>
    </row>
    <row r="347" spans="1:10" x14ac:dyDescent="0.3">
      <c r="A347" t="s">
        <v>636</v>
      </c>
      <c r="B347" t="s">
        <v>637</v>
      </c>
      <c r="C347" t="s">
        <v>507</v>
      </c>
      <c r="E347" t="s">
        <v>747</v>
      </c>
      <c r="F347">
        <v>2</v>
      </c>
      <c r="G347">
        <v>1</v>
      </c>
      <c r="H347">
        <v>1</v>
      </c>
      <c r="I347" t="s">
        <v>728</v>
      </c>
      <c r="J347" t="s">
        <v>729</v>
      </c>
    </row>
    <row r="348" spans="1:10" x14ac:dyDescent="0.3">
      <c r="A348" t="s">
        <v>638</v>
      </c>
      <c r="B348" t="s">
        <v>639</v>
      </c>
      <c r="C348" t="s">
        <v>507</v>
      </c>
      <c r="E348" t="s">
        <v>817</v>
      </c>
      <c r="F348">
        <v>4</v>
      </c>
      <c r="G348">
        <v>0.5</v>
      </c>
      <c r="H348">
        <v>0.5</v>
      </c>
      <c r="I348" t="s">
        <v>728</v>
      </c>
      <c r="J348" t="s">
        <v>748</v>
      </c>
    </row>
    <row r="349" spans="1:10" x14ac:dyDescent="0.3">
      <c r="A349" t="s">
        <v>638</v>
      </c>
      <c r="B349" t="s">
        <v>639</v>
      </c>
      <c r="C349" t="s">
        <v>507</v>
      </c>
      <c r="E349" t="s">
        <v>747</v>
      </c>
      <c r="F349">
        <v>1</v>
      </c>
      <c r="G349">
        <v>0.5</v>
      </c>
      <c r="H349">
        <v>0.5</v>
      </c>
      <c r="I349" t="s">
        <v>728</v>
      </c>
      <c r="J349" t="s">
        <v>748</v>
      </c>
    </row>
    <row r="350" spans="1:10" x14ac:dyDescent="0.3">
      <c r="A350" t="s">
        <v>640</v>
      </c>
      <c r="B350" t="s">
        <v>641</v>
      </c>
      <c r="C350" t="s">
        <v>507</v>
      </c>
      <c r="E350" t="s">
        <v>817</v>
      </c>
      <c r="F350">
        <v>3</v>
      </c>
      <c r="G350">
        <v>1</v>
      </c>
      <c r="H350">
        <v>1</v>
      </c>
      <c r="I350" t="s">
        <v>728</v>
      </c>
      <c r="J350" t="s">
        <v>729</v>
      </c>
    </row>
    <row r="351" spans="1:10" x14ac:dyDescent="0.3">
      <c r="A351" t="s">
        <v>642</v>
      </c>
      <c r="B351" t="s">
        <v>643</v>
      </c>
      <c r="C351" t="s">
        <v>507</v>
      </c>
      <c r="E351" t="s">
        <v>817</v>
      </c>
      <c r="F351">
        <v>2</v>
      </c>
      <c r="G351">
        <v>1</v>
      </c>
      <c r="H351">
        <v>1</v>
      </c>
      <c r="I351" t="s">
        <v>728</v>
      </c>
      <c r="J351" t="s">
        <v>729</v>
      </c>
    </row>
    <row r="352" spans="1:10" x14ac:dyDescent="0.3">
      <c r="A352" t="s">
        <v>644</v>
      </c>
      <c r="B352" t="s">
        <v>645</v>
      </c>
      <c r="C352" t="s">
        <v>507</v>
      </c>
      <c r="E352" t="s">
        <v>791</v>
      </c>
      <c r="F352">
        <v>1</v>
      </c>
      <c r="G352">
        <v>0.5</v>
      </c>
      <c r="H352">
        <v>0.5</v>
      </c>
      <c r="I352" t="s">
        <v>728</v>
      </c>
      <c r="J352" t="s">
        <v>748</v>
      </c>
    </row>
    <row r="353" spans="1:10" x14ac:dyDescent="0.3">
      <c r="A353" t="s">
        <v>644</v>
      </c>
      <c r="B353" t="s">
        <v>645</v>
      </c>
      <c r="C353" t="s">
        <v>507</v>
      </c>
      <c r="E353" t="s">
        <v>803</v>
      </c>
      <c r="F353">
        <v>1</v>
      </c>
      <c r="G353">
        <v>0.5</v>
      </c>
      <c r="H353">
        <v>0.5</v>
      </c>
      <c r="I353" t="s">
        <v>728</v>
      </c>
      <c r="J353" t="s">
        <v>748</v>
      </c>
    </row>
    <row r="354" spans="1:10" x14ac:dyDescent="0.3">
      <c r="A354" t="s">
        <v>646</v>
      </c>
      <c r="B354" t="s">
        <v>647</v>
      </c>
      <c r="C354" t="s">
        <v>507</v>
      </c>
      <c r="E354" t="s">
        <v>791</v>
      </c>
      <c r="F354">
        <v>1</v>
      </c>
      <c r="G354">
        <v>0.5</v>
      </c>
      <c r="H354">
        <v>0.5</v>
      </c>
      <c r="I354" t="s">
        <v>728</v>
      </c>
      <c r="J354" t="s">
        <v>748</v>
      </c>
    </row>
    <row r="355" spans="1:10" x14ac:dyDescent="0.3">
      <c r="A355" t="s">
        <v>646</v>
      </c>
      <c r="B355" t="s">
        <v>647</v>
      </c>
      <c r="C355" t="s">
        <v>507</v>
      </c>
      <c r="E355" t="s">
        <v>802</v>
      </c>
      <c r="F355">
        <v>1</v>
      </c>
      <c r="G355">
        <v>0.5</v>
      </c>
      <c r="H355">
        <v>0.5</v>
      </c>
      <c r="I355" t="s">
        <v>728</v>
      </c>
      <c r="J355" t="s">
        <v>748</v>
      </c>
    </row>
    <row r="356" spans="1:10" x14ac:dyDescent="0.3">
      <c r="A356" t="s">
        <v>648</v>
      </c>
      <c r="B356" t="s">
        <v>649</v>
      </c>
      <c r="C356" t="s">
        <v>507</v>
      </c>
      <c r="E356" t="s">
        <v>791</v>
      </c>
      <c r="F356">
        <v>1</v>
      </c>
      <c r="G356">
        <v>0.5</v>
      </c>
      <c r="H356">
        <v>0.5</v>
      </c>
      <c r="I356" t="s">
        <v>728</v>
      </c>
      <c r="J356" t="s">
        <v>748</v>
      </c>
    </row>
    <row r="357" spans="1:10" x14ac:dyDescent="0.3">
      <c r="A357" t="s">
        <v>648</v>
      </c>
      <c r="B357" t="s">
        <v>649</v>
      </c>
      <c r="C357" t="s">
        <v>507</v>
      </c>
      <c r="E357" t="s">
        <v>747</v>
      </c>
      <c r="F357">
        <v>1</v>
      </c>
      <c r="G357">
        <v>0.5</v>
      </c>
      <c r="H357">
        <v>0.5</v>
      </c>
      <c r="I357" t="s">
        <v>728</v>
      </c>
      <c r="J357" t="s">
        <v>748</v>
      </c>
    </row>
    <row r="358" spans="1:10" x14ac:dyDescent="0.3">
      <c r="A358" t="s">
        <v>650</v>
      </c>
      <c r="B358" t="s">
        <v>651</v>
      </c>
      <c r="C358" t="s">
        <v>507</v>
      </c>
      <c r="E358" t="s">
        <v>802</v>
      </c>
      <c r="F358">
        <v>5</v>
      </c>
      <c r="G358">
        <v>1</v>
      </c>
      <c r="H358">
        <v>1</v>
      </c>
      <c r="I358" t="s">
        <v>728</v>
      </c>
      <c r="J358" t="s">
        <v>729</v>
      </c>
    </row>
    <row r="359" spans="1:10" x14ac:dyDescent="0.3">
      <c r="A359" t="s">
        <v>652</v>
      </c>
      <c r="B359" t="s">
        <v>653</v>
      </c>
      <c r="C359" t="s">
        <v>507</v>
      </c>
      <c r="E359" t="s">
        <v>802</v>
      </c>
      <c r="F359">
        <v>3</v>
      </c>
      <c r="G359">
        <v>1</v>
      </c>
      <c r="H359">
        <v>1</v>
      </c>
      <c r="I359" t="s">
        <v>728</v>
      </c>
      <c r="J359" t="s">
        <v>729</v>
      </c>
    </row>
    <row r="360" spans="1:10" x14ac:dyDescent="0.3">
      <c r="A360" t="s">
        <v>654</v>
      </c>
      <c r="B360" t="s">
        <v>655</v>
      </c>
      <c r="C360" t="s">
        <v>507</v>
      </c>
      <c r="E360" t="s">
        <v>802</v>
      </c>
      <c r="F360">
        <v>2</v>
      </c>
      <c r="G360">
        <v>1</v>
      </c>
      <c r="H360">
        <v>1</v>
      </c>
      <c r="I360" t="s">
        <v>728</v>
      </c>
      <c r="J360" t="s">
        <v>729</v>
      </c>
    </row>
    <row r="361" spans="1:10" x14ac:dyDescent="0.3">
      <c r="A361" t="s">
        <v>656</v>
      </c>
      <c r="B361" t="s">
        <v>657</v>
      </c>
      <c r="C361" t="s">
        <v>507</v>
      </c>
      <c r="E361" t="s">
        <v>802</v>
      </c>
      <c r="F361">
        <v>1</v>
      </c>
      <c r="G361">
        <v>0.5</v>
      </c>
      <c r="H361">
        <v>0.5</v>
      </c>
      <c r="I361" t="s">
        <v>728</v>
      </c>
      <c r="J361" t="s">
        <v>748</v>
      </c>
    </row>
    <row r="362" spans="1:10" x14ac:dyDescent="0.3">
      <c r="A362" t="s">
        <v>656</v>
      </c>
      <c r="B362" t="s">
        <v>657</v>
      </c>
      <c r="C362" t="s">
        <v>507</v>
      </c>
      <c r="E362" t="s">
        <v>803</v>
      </c>
      <c r="F362">
        <v>1</v>
      </c>
      <c r="G362">
        <v>0.5</v>
      </c>
      <c r="H362">
        <v>0.5</v>
      </c>
      <c r="I362" t="s">
        <v>728</v>
      </c>
      <c r="J362" t="s">
        <v>748</v>
      </c>
    </row>
    <row r="363" spans="1:10" x14ac:dyDescent="0.3">
      <c r="A363" t="s">
        <v>658</v>
      </c>
      <c r="B363" t="s">
        <v>659</v>
      </c>
      <c r="C363" t="s">
        <v>507</v>
      </c>
      <c r="E363" t="s">
        <v>802</v>
      </c>
      <c r="F363">
        <v>1</v>
      </c>
      <c r="G363">
        <v>0.5</v>
      </c>
      <c r="H363">
        <v>0.5</v>
      </c>
      <c r="I363" t="s">
        <v>728</v>
      </c>
      <c r="J363" t="s">
        <v>748</v>
      </c>
    </row>
    <row r="364" spans="1:10" x14ac:dyDescent="0.3">
      <c r="A364" t="s">
        <v>658</v>
      </c>
      <c r="B364" t="s">
        <v>659</v>
      </c>
      <c r="C364" t="s">
        <v>507</v>
      </c>
      <c r="E364" t="s">
        <v>808</v>
      </c>
      <c r="F364">
        <v>2</v>
      </c>
      <c r="G364">
        <v>0.5</v>
      </c>
      <c r="H364">
        <v>0.5</v>
      </c>
      <c r="I364" t="s">
        <v>728</v>
      </c>
      <c r="J364" t="s">
        <v>748</v>
      </c>
    </row>
    <row r="365" spans="1:10" x14ac:dyDescent="0.3">
      <c r="A365" t="s">
        <v>660</v>
      </c>
      <c r="B365" t="s">
        <v>661</v>
      </c>
      <c r="C365" t="s">
        <v>507</v>
      </c>
      <c r="E365" t="s">
        <v>818</v>
      </c>
      <c r="F365">
        <v>2</v>
      </c>
      <c r="G365">
        <v>1</v>
      </c>
      <c r="H365">
        <v>1</v>
      </c>
      <c r="I365" t="s">
        <v>728</v>
      </c>
      <c r="J365" t="s">
        <v>729</v>
      </c>
    </row>
    <row r="366" spans="1:10" x14ac:dyDescent="0.3">
      <c r="A366" t="s">
        <v>662</v>
      </c>
      <c r="B366" t="s">
        <v>663</v>
      </c>
      <c r="C366" t="s">
        <v>507</v>
      </c>
      <c r="E366" t="s">
        <v>802</v>
      </c>
      <c r="F366">
        <v>1</v>
      </c>
      <c r="G366">
        <v>0.33333299999999999</v>
      </c>
      <c r="H366">
        <v>0.33333299999999999</v>
      </c>
      <c r="I366" t="s">
        <v>728</v>
      </c>
      <c r="J366" t="s">
        <v>806</v>
      </c>
    </row>
    <row r="367" spans="1:10" x14ac:dyDescent="0.3">
      <c r="A367" t="s">
        <v>662</v>
      </c>
      <c r="B367" t="s">
        <v>663</v>
      </c>
      <c r="C367" t="s">
        <v>507</v>
      </c>
      <c r="E367" t="s">
        <v>747</v>
      </c>
      <c r="F367">
        <v>1</v>
      </c>
      <c r="G367">
        <v>0.33333299999999999</v>
      </c>
      <c r="H367">
        <v>0.33333299999999999</v>
      </c>
      <c r="I367" t="s">
        <v>728</v>
      </c>
      <c r="J367" t="s">
        <v>806</v>
      </c>
    </row>
    <row r="368" spans="1:10" x14ac:dyDescent="0.3">
      <c r="A368" t="s">
        <v>662</v>
      </c>
      <c r="B368" t="s">
        <v>663</v>
      </c>
      <c r="C368" t="s">
        <v>507</v>
      </c>
      <c r="E368" t="s">
        <v>803</v>
      </c>
      <c r="F368">
        <v>1</v>
      </c>
      <c r="G368">
        <v>0.33333299999999999</v>
      </c>
      <c r="H368">
        <v>0.33333299999999999</v>
      </c>
      <c r="I368" t="s">
        <v>728</v>
      </c>
      <c r="J368" t="s">
        <v>806</v>
      </c>
    </row>
    <row r="369" spans="1:10" x14ac:dyDescent="0.3">
      <c r="A369" t="s">
        <v>664</v>
      </c>
      <c r="B369" t="s">
        <v>665</v>
      </c>
      <c r="C369" t="s">
        <v>507</v>
      </c>
      <c r="E369" t="s">
        <v>802</v>
      </c>
      <c r="F369">
        <v>1</v>
      </c>
      <c r="G369">
        <v>0.5</v>
      </c>
      <c r="H369">
        <v>0.5</v>
      </c>
      <c r="I369" t="s">
        <v>728</v>
      </c>
      <c r="J369" t="s">
        <v>748</v>
      </c>
    </row>
    <row r="370" spans="1:10" x14ac:dyDescent="0.3">
      <c r="A370" t="s">
        <v>664</v>
      </c>
      <c r="B370" t="s">
        <v>665</v>
      </c>
      <c r="C370" t="s">
        <v>507</v>
      </c>
      <c r="E370" t="s">
        <v>802</v>
      </c>
      <c r="F370">
        <v>1</v>
      </c>
      <c r="G370">
        <v>0.5</v>
      </c>
      <c r="H370">
        <v>0.5</v>
      </c>
      <c r="I370" t="s">
        <v>728</v>
      </c>
      <c r="J370" t="s">
        <v>748</v>
      </c>
    </row>
    <row r="371" spans="1:10" x14ac:dyDescent="0.3">
      <c r="A371" t="s">
        <v>668</v>
      </c>
      <c r="B371" t="s">
        <v>669</v>
      </c>
      <c r="C371" t="s">
        <v>507</v>
      </c>
      <c r="E371" t="s">
        <v>813</v>
      </c>
      <c r="F371">
        <v>2</v>
      </c>
      <c r="G371">
        <v>1</v>
      </c>
      <c r="H371">
        <v>1</v>
      </c>
      <c r="I371" t="s">
        <v>728</v>
      </c>
      <c r="J371" t="s">
        <v>729</v>
      </c>
    </row>
    <row r="372" spans="1:10" x14ac:dyDescent="0.3">
      <c r="A372" t="s">
        <v>670</v>
      </c>
      <c r="B372" t="s">
        <v>671</v>
      </c>
      <c r="C372" t="s">
        <v>507</v>
      </c>
      <c r="E372" t="s">
        <v>805</v>
      </c>
      <c r="F372">
        <v>3</v>
      </c>
      <c r="G372">
        <v>0.5</v>
      </c>
      <c r="H372">
        <v>0.5</v>
      </c>
      <c r="I372" t="s">
        <v>728</v>
      </c>
      <c r="J372" t="s">
        <v>748</v>
      </c>
    </row>
    <row r="373" spans="1:10" x14ac:dyDescent="0.3">
      <c r="A373" t="s">
        <v>670</v>
      </c>
      <c r="B373" t="s">
        <v>671</v>
      </c>
      <c r="C373" t="s">
        <v>507</v>
      </c>
      <c r="E373" t="s">
        <v>817</v>
      </c>
      <c r="F373">
        <v>1</v>
      </c>
      <c r="G373">
        <v>0.5</v>
      </c>
      <c r="H373">
        <v>0.5</v>
      </c>
      <c r="I373" t="s">
        <v>728</v>
      </c>
      <c r="J373" t="s">
        <v>748</v>
      </c>
    </row>
    <row r="374" spans="1:10" x14ac:dyDescent="0.3">
      <c r="A374" t="s">
        <v>672</v>
      </c>
      <c r="B374" t="s">
        <v>673</v>
      </c>
      <c r="C374" t="s">
        <v>507</v>
      </c>
      <c r="E374" t="s">
        <v>803</v>
      </c>
      <c r="F374">
        <v>4</v>
      </c>
      <c r="G374">
        <v>1</v>
      </c>
      <c r="H374">
        <v>1</v>
      </c>
      <c r="I374" t="s">
        <v>728</v>
      </c>
      <c r="J374" t="s">
        <v>729</v>
      </c>
    </row>
    <row r="375" spans="1:10" x14ac:dyDescent="0.3">
      <c r="A375" t="s">
        <v>674</v>
      </c>
      <c r="B375" t="s">
        <v>675</v>
      </c>
      <c r="C375" t="s">
        <v>507</v>
      </c>
      <c r="E375" t="s">
        <v>803</v>
      </c>
      <c r="F375">
        <v>2</v>
      </c>
      <c r="G375">
        <v>1</v>
      </c>
      <c r="H375">
        <v>1</v>
      </c>
      <c r="I375" t="s">
        <v>728</v>
      </c>
      <c r="J375" t="s">
        <v>729</v>
      </c>
    </row>
    <row r="376" spans="1:10" x14ac:dyDescent="0.3">
      <c r="A376" t="s">
        <v>676</v>
      </c>
      <c r="B376" t="s">
        <v>677</v>
      </c>
      <c r="C376" t="s">
        <v>507</v>
      </c>
      <c r="E376" t="s">
        <v>819</v>
      </c>
      <c r="F376">
        <v>4</v>
      </c>
      <c r="G376">
        <v>1</v>
      </c>
      <c r="H376">
        <v>1</v>
      </c>
      <c r="I376" t="s">
        <v>728</v>
      </c>
      <c r="J376" t="s">
        <v>729</v>
      </c>
    </row>
    <row r="377" spans="1:10" x14ac:dyDescent="0.3">
      <c r="A377" t="s">
        <v>678</v>
      </c>
      <c r="B377" t="s">
        <v>679</v>
      </c>
      <c r="C377" t="s">
        <v>507</v>
      </c>
      <c r="F377">
        <v>2</v>
      </c>
      <c r="G377">
        <v>1</v>
      </c>
      <c r="H377">
        <v>1</v>
      </c>
      <c r="I377" t="s">
        <v>728</v>
      </c>
      <c r="J377" t="s">
        <v>730</v>
      </c>
    </row>
    <row r="378" spans="1:10" x14ac:dyDescent="0.3">
      <c r="A378" t="s">
        <v>680</v>
      </c>
      <c r="B378" t="s">
        <v>681</v>
      </c>
      <c r="C378" t="s">
        <v>507</v>
      </c>
      <c r="E378" t="s">
        <v>791</v>
      </c>
      <c r="F378">
        <v>2</v>
      </c>
      <c r="G378">
        <v>1</v>
      </c>
      <c r="H378">
        <v>1</v>
      </c>
      <c r="I378" t="s">
        <v>728</v>
      </c>
      <c r="J378" t="s">
        <v>729</v>
      </c>
    </row>
    <row r="379" spans="1:10" x14ac:dyDescent="0.3">
      <c r="A379" t="s">
        <v>700</v>
      </c>
      <c r="B379" t="s">
        <v>701</v>
      </c>
      <c r="C379" t="s">
        <v>507</v>
      </c>
      <c r="E379" t="s">
        <v>820</v>
      </c>
      <c r="F379">
        <v>1</v>
      </c>
      <c r="G379">
        <v>0.5</v>
      </c>
      <c r="H379">
        <v>0.5</v>
      </c>
      <c r="I379" t="s">
        <v>728</v>
      </c>
      <c r="J379" t="s">
        <v>792</v>
      </c>
    </row>
    <row r="380" spans="1:10" x14ac:dyDescent="0.3">
      <c r="A380" t="s">
        <v>700</v>
      </c>
      <c r="B380" t="s">
        <v>701</v>
      </c>
      <c r="C380" t="s">
        <v>507</v>
      </c>
      <c r="E380" t="s">
        <v>820</v>
      </c>
      <c r="F380">
        <v>1</v>
      </c>
      <c r="G380">
        <v>0.5</v>
      </c>
      <c r="H380">
        <v>0.5</v>
      </c>
      <c r="I380" t="s">
        <v>728</v>
      </c>
      <c r="J380" t="s">
        <v>792</v>
      </c>
    </row>
    <row r="381" spans="1:10" x14ac:dyDescent="0.3">
      <c r="A381" t="s">
        <v>716</v>
      </c>
      <c r="B381" t="s">
        <v>717</v>
      </c>
      <c r="C381" t="s">
        <v>507</v>
      </c>
      <c r="E381" t="s">
        <v>821</v>
      </c>
      <c r="F381">
        <v>1</v>
      </c>
      <c r="G381">
        <v>1</v>
      </c>
      <c r="H381">
        <v>1</v>
      </c>
      <c r="I381" t="s">
        <v>728</v>
      </c>
      <c r="J381" t="s">
        <v>729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41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22" customWidth="1"/>
    <col min="2" max="2" width="42" customWidth="1"/>
    <col min="3" max="3" width="10" customWidth="1"/>
    <col min="4" max="4" width="29" customWidth="1"/>
  </cols>
  <sheetData>
    <row r="1" spans="1:4" x14ac:dyDescent="0.3">
      <c r="A1" s="1" t="s">
        <v>718</v>
      </c>
      <c r="B1" s="1" t="s">
        <v>719</v>
      </c>
      <c r="C1" s="1" t="s">
        <v>725</v>
      </c>
      <c r="D1" s="1" t="s">
        <v>726</v>
      </c>
    </row>
    <row r="2" spans="1:4" x14ac:dyDescent="0.3">
      <c r="A2" t="s">
        <v>99</v>
      </c>
      <c r="B2" t="s">
        <v>100</v>
      </c>
      <c r="C2" t="s">
        <v>728</v>
      </c>
      <c r="D2" t="s">
        <v>729</v>
      </c>
    </row>
    <row r="3" spans="1:4" x14ac:dyDescent="0.3">
      <c r="A3" t="s">
        <v>102</v>
      </c>
      <c r="B3" t="s">
        <v>103</v>
      </c>
      <c r="C3" t="s">
        <v>728</v>
      </c>
      <c r="D3" t="s">
        <v>730</v>
      </c>
    </row>
    <row r="4" spans="1:4" x14ac:dyDescent="0.3">
      <c r="A4" t="s">
        <v>106</v>
      </c>
      <c r="B4" t="s">
        <v>107</v>
      </c>
      <c r="C4" t="s">
        <v>732</v>
      </c>
      <c r="D4" t="s">
        <v>733</v>
      </c>
    </row>
    <row r="5" spans="1:4" x14ac:dyDescent="0.3">
      <c r="A5" t="s">
        <v>108</v>
      </c>
      <c r="B5" t="s">
        <v>109</v>
      </c>
      <c r="C5" t="s">
        <v>734</v>
      </c>
      <c r="D5" t="s">
        <v>735</v>
      </c>
    </row>
    <row r="6" spans="1:4" x14ac:dyDescent="0.3">
      <c r="A6" t="s">
        <v>110</v>
      </c>
      <c r="B6" t="s">
        <v>111</v>
      </c>
      <c r="C6" t="s">
        <v>734</v>
      </c>
      <c r="D6" t="s">
        <v>735</v>
      </c>
    </row>
    <row r="7" spans="1:4" x14ac:dyDescent="0.3">
      <c r="A7" t="s">
        <v>112</v>
      </c>
      <c r="B7" t="s">
        <v>113</v>
      </c>
      <c r="C7" t="s">
        <v>732</v>
      </c>
      <c r="D7" t="s">
        <v>733</v>
      </c>
    </row>
    <row r="8" spans="1:4" x14ac:dyDescent="0.3">
      <c r="A8" t="s">
        <v>114</v>
      </c>
      <c r="B8" t="s">
        <v>115</v>
      </c>
      <c r="C8" t="s">
        <v>734</v>
      </c>
      <c r="D8" t="s">
        <v>735</v>
      </c>
    </row>
    <row r="9" spans="1:4" x14ac:dyDescent="0.3">
      <c r="A9" t="s">
        <v>116</v>
      </c>
      <c r="B9" t="s">
        <v>117</v>
      </c>
      <c r="C9" t="s">
        <v>734</v>
      </c>
      <c r="D9" t="s">
        <v>735</v>
      </c>
    </row>
    <row r="10" spans="1:4" x14ac:dyDescent="0.3">
      <c r="A10" t="s">
        <v>118</v>
      </c>
      <c r="B10" t="s">
        <v>119</v>
      </c>
      <c r="C10" t="s">
        <v>728</v>
      </c>
      <c r="D10" t="s">
        <v>729</v>
      </c>
    </row>
    <row r="11" spans="1:4" x14ac:dyDescent="0.3">
      <c r="A11" t="s">
        <v>120</v>
      </c>
      <c r="B11" t="s">
        <v>121</v>
      </c>
      <c r="C11" t="s">
        <v>728</v>
      </c>
      <c r="D11" t="s">
        <v>729</v>
      </c>
    </row>
    <row r="12" spans="1:4" x14ac:dyDescent="0.3">
      <c r="A12" t="s">
        <v>122</v>
      </c>
      <c r="B12" t="s">
        <v>123</v>
      </c>
      <c r="C12" t="s">
        <v>732</v>
      </c>
      <c r="D12" t="s">
        <v>733</v>
      </c>
    </row>
    <row r="13" spans="1:4" x14ac:dyDescent="0.3">
      <c r="A13" t="s">
        <v>124</v>
      </c>
      <c r="B13" t="s">
        <v>125</v>
      </c>
      <c r="C13" t="s">
        <v>732</v>
      </c>
      <c r="D13" t="s">
        <v>737</v>
      </c>
    </row>
    <row r="14" spans="1:4" x14ac:dyDescent="0.3">
      <c r="A14" t="s">
        <v>126</v>
      </c>
      <c r="B14" t="s">
        <v>127</v>
      </c>
      <c r="C14" t="s">
        <v>732</v>
      </c>
      <c r="D14" t="s">
        <v>733</v>
      </c>
    </row>
    <row r="15" spans="1:4" x14ac:dyDescent="0.3">
      <c r="A15" t="s">
        <v>128</v>
      </c>
      <c r="B15" t="s">
        <v>129</v>
      </c>
      <c r="C15" t="s">
        <v>732</v>
      </c>
      <c r="D15" t="s">
        <v>738</v>
      </c>
    </row>
    <row r="16" spans="1:4" x14ac:dyDescent="0.3">
      <c r="A16" t="s">
        <v>130</v>
      </c>
      <c r="B16" t="s">
        <v>131</v>
      </c>
      <c r="C16" t="s">
        <v>732</v>
      </c>
      <c r="D16" t="s">
        <v>738</v>
      </c>
    </row>
    <row r="17" spans="1:4" x14ac:dyDescent="0.3">
      <c r="A17" t="s">
        <v>132</v>
      </c>
      <c r="B17" t="s">
        <v>133</v>
      </c>
      <c r="C17" t="s">
        <v>732</v>
      </c>
      <c r="D17" t="s">
        <v>733</v>
      </c>
    </row>
    <row r="18" spans="1:4" x14ac:dyDescent="0.3">
      <c r="A18" t="s">
        <v>134</v>
      </c>
      <c r="B18" t="s">
        <v>135</v>
      </c>
      <c r="C18" t="s">
        <v>732</v>
      </c>
      <c r="D18" t="s">
        <v>738</v>
      </c>
    </row>
    <row r="19" spans="1:4" x14ac:dyDescent="0.3">
      <c r="A19" t="s">
        <v>136</v>
      </c>
      <c r="B19" t="s">
        <v>137</v>
      </c>
      <c r="C19" t="s">
        <v>732</v>
      </c>
      <c r="D19" t="s">
        <v>739</v>
      </c>
    </row>
    <row r="20" spans="1:4" x14ac:dyDescent="0.3">
      <c r="A20" t="s">
        <v>138</v>
      </c>
      <c r="B20" t="s">
        <v>139</v>
      </c>
      <c r="C20" t="s">
        <v>732</v>
      </c>
      <c r="D20" t="s">
        <v>739</v>
      </c>
    </row>
    <row r="21" spans="1:4" x14ac:dyDescent="0.3">
      <c r="A21" t="s">
        <v>140</v>
      </c>
      <c r="B21" t="s">
        <v>141</v>
      </c>
      <c r="C21" t="s">
        <v>732</v>
      </c>
      <c r="D21" t="s">
        <v>739</v>
      </c>
    </row>
    <row r="22" spans="1:4" x14ac:dyDescent="0.3">
      <c r="A22" t="s">
        <v>142</v>
      </c>
      <c r="B22" t="s">
        <v>143</v>
      </c>
      <c r="C22" t="s">
        <v>732</v>
      </c>
      <c r="D22" t="s">
        <v>733</v>
      </c>
    </row>
    <row r="23" spans="1:4" x14ac:dyDescent="0.3">
      <c r="A23" t="s">
        <v>144</v>
      </c>
      <c r="B23" t="s">
        <v>145</v>
      </c>
      <c r="C23" t="s">
        <v>732</v>
      </c>
      <c r="D23" t="s">
        <v>738</v>
      </c>
    </row>
    <row r="24" spans="1:4" x14ac:dyDescent="0.3">
      <c r="A24" t="s">
        <v>146</v>
      </c>
      <c r="B24" t="s">
        <v>147</v>
      </c>
      <c r="C24" t="s">
        <v>732</v>
      </c>
      <c r="D24" t="s">
        <v>739</v>
      </c>
    </row>
    <row r="25" spans="1:4" x14ac:dyDescent="0.3">
      <c r="A25" t="s">
        <v>148</v>
      </c>
      <c r="B25" t="s">
        <v>149</v>
      </c>
      <c r="C25" t="s">
        <v>732</v>
      </c>
      <c r="D25" t="s">
        <v>739</v>
      </c>
    </row>
    <row r="26" spans="1:4" x14ac:dyDescent="0.3">
      <c r="A26" t="s">
        <v>150</v>
      </c>
      <c r="B26" t="s">
        <v>151</v>
      </c>
      <c r="C26" t="s">
        <v>732</v>
      </c>
      <c r="D26" t="s">
        <v>739</v>
      </c>
    </row>
    <row r="27" spans="1:4" x14ac:dyDescent="0.3">
      <c r="A27" t="s">
        <v>152</v>
      </c>
      <c r="B27" t="s">
        <v>153</v>
      </c>
      <c r="C27" t="s">
        <v>732</v>
      </c>
      <c r="D27" t="s">
        <v>739</v>
      </c>
    </row>
    <row r="28" spans="1:4" x14ac:dyDescent="0.3">
      <c r="A28" t="s">
        <v>154</v>
      </c>
      <c r="B28" t="s">
        <v>155</v>
      </c>
      <c r="C28" t="s">
        <v>732</v>
      </c>
      <c r="D28" t="s">
        <v>739</v>
      </c>
    </row>
    <row r="29" spans="1:4" x14ac:dyDescent="0.3">
      <c r="A29" t="s">
        <v>156</v>
      </c>
      <c r="B29" t="s">
        <v>157</v>
      </c>
      <c r="C29" t="s">
        <v>732</v>
      </c>
      <c r="D29" t="s">
        <v>733</v>
      </c>
    </row>
    <row r="30" spans="1:4" x14ac:dyDescent="0.3">
      <c r="A30" t="s">
        <v>158</v>
      </c>
      <c r="B30" t="s">
        <v>159</v>
      </c>
      <c r="C30" t="s">
        <v>732</v>
      </c>
      <c r="D30" t="s">
        <v>739</v>
      </c>
    </row>
    <row r="31" spans="1:4" x14ac:dyDescent="0.3">
      <c r="A31" t="s">
        <v>160</v>
      </c>
      <c r="B31" t="s">
        <v>161</v>
      </c>
      <c r="C31" t="s">
        <v>732</v>
      </c>
      <c r="D31" t="s">
        <v>739</v>
      </c>
    </row>
    <row r="32" spans="1:4" x14ac:dyDescent="0.3">
      <c r="A32" t="s">
        <v>162</v>
      </c>
      <c r="B32" t="s">
        <v>163</v>
      </c>
      <c r="C32" t="s">
        <v>732</v>
      </c>
      <c r="D32" t="s">
        <v>739</v>
      </c>
    </row>
    <row r="33" spans="1:4" x14ac:dyDescent="0.3">
      <c r="A33" t="s">
        <v>164</v>
      </c>
      <c r="B33" t="s">
        <v>165</v>
      </c>
      <c r="C33" t="s">
        <v>732</v>
      </c>
      <c r="D33" t="s">
        <v>738</v>
      </c>
    </row>
    <row r="34" spans="1:4" x14ac:dyDescent="0.3">
      <c r="A34" t="s">
        <v>166</v>
      </c>
      <c r="B34" t="s">
        <v>167</v>
      </c>
      <c r="C34" t="s">
        <v>732</v>
      </c>
      <c r="D34" t="s">
        <v>733</v>
      </c>
    </row>
    <row r="35" spans="1:4" x14ac:dyDescent="0.3">
      <c r="A35" t="s">
        <v>168</v>
      </c>
      <c r="B35" t="s">
        <v>169</v>
      </c>
      <c r="C35" t="s">
        <v>732</v>
      </c>
      <c r="D35" t="s">
        <v>738</v>
      </c>
    </row>
    <row r="36" spans="1:4" x14ac:dyDescent="0.3">
      <c r="A36" t="s">
        <v>170</v>
      </c>
      <c r="B36" t="s">
        <v>171</v>
      </c>
      <c r="C36" t="s">
        <v>732</v>
      </c>
      <c r="D36" t="s">
        <v>733</v>
      </c>
    </row>
    <row r="37" spans="1:4" x14ac:dyDescent="0.3">
      <c r="A37" t="s">
        <v>172</v>
      </c>
      <c r="B37" t="s">
        <v>173</v>
      </c>
      <c r="C37" t="s">
        <v>728</v>
      </c>
      <c r="D37" t="s">
        <v>729</v>
      </c>
    </row>
    <row r="38" spans="1:4" x14ac:dyDescent="0.3">
      <c r="A38" t="s">
        <v>174</v>
      </c>
      <c r="B38" t="s">
        <v>175</v>
      </c>
      <c r="C38" t="s">
        <v>728</v>
      </c>
      <c r="D38" t="s">
        <v>729</v>
      </c>
    </row>
    <row r="39" spans="1:4" x14ac:dyDescent="0.3">
      <c r="A39" t="s">
        <v>176</v>
      </c>
      <c r="B39" t="s">
        <v>177</v>
      </c>
      <c r="C39" t="s">
        <v>732</v>
      </c>
      <c r="D39" t="s">
        <v>738</v>
      </c>
    </row>
    <row r="40" spans="1:4" x14ac:dyDescent="0.3">
      <c r="A40" t="s">
        <v>178</v>
      </c>
      <c r="B40" t="s">
        <v>179</v>
      </c>
      <c r="C40" t="s">
        <v>732</v>
      </c>
      <c r="D40" t="s">
        <v>738</v>
      </c>
    </row>
    <row r="41" spans="1:4" x14ac:dyDescent="0.3">
      <c r="A41" t="s">
        <v>180</v>
      </c>
      <c r="B41" t="s">
        <v>181</v>
      </c>
      <c r="C41" t="s">
        <v>732</v>
      </c>
      <c r="D41" t="s">
        <v>738</v>
      </c>
    </row>
    <row r="42" spans="1:4" x14ac:dyDescent="0.3">
      <c r="A42" t="s">
        <v>182</v>
      </c>
      <c r="B42" t="s">
        <v>183</v>
      </c>
      <c r="C42" t="s">
        <v>732</v>
      </c>
      <c r="D42" t="s">
        <v>738</v>
      </c>
    </row>
    <row r="43" spans="1:4" x14ac:dyDescent="0.3">
      <c r="A43" t="s">
        <v>184</v>
      </c>
      <c r="B43" t="s">
        <v>185</v>
      </c>
      <c r="C43" t="s">
        <v>732</v>
      </c>
      <c r="D43" t="s">
        <v>738</v>
      </c>
    </row>
    <row r="44" spans="1:4" x14ac:dyDescent="0.3">
      <c r="A44" t="s">
        <v>186</v>
      </c>
      <c r="B44" t="s">
        <v>187</v>
      </c>
      <c r="C44" t="s">
        <v>732</v>
      </c>
      <c r="D44" t="s">
        <v>738</v>
      </c>
    </row>
    <row r="45" spans="1:4" x14ac:dyDescent="0.3">
      <c r="A45" t="s">
        <v>188</v>
      </c>
      <c r="B45" t="s">
        <v>189</v>
      </c>
      <c r="C45" t="s">
        <v>732</v>
      </c>
      <c r="D45" t="s">
        <v>738</v>
      </c>
    </row>
    <row r="46" spans="1:4" x14ac:dyDescent="0.3">
      <c r="A46" t="s">
        <v>190</v>
      </c>
      <c r="B46" t="s">
        <v>191</v>
      </c>
      <c r="C46" t="s">
        <v>734</v>
      </c>
      <c r="D46" t="s">
        <v>742</v>
      </c>
    </row>
    <row r="47" spans="1:4" x14ac:dyDescent="0.3">
      <c r="A47" t="s">
        <v>192</v>
      </c>
      <c r="B47" t="s">
        <v>193</v>
      </c>
      <c r="C47" t="s">
        <v>734</v>
      </c>
      <c r="D47" t="s">
        <v>743</v>
      </c>
    </row>
    <row r="48" spans="1:4" x14ac:dyDescent="0.3">
      <c r="A48" t="s">
        <v>194</v>
      </c>
      <c r="B48" t="s">
        <v>195</v>
      </c>
      <c r="C48" t="s">
        <v>732</v>
      </c>
      <c r="D48" t="s">
        <v>733</v>
      </c>
    </row>
    <row r="49" spans="1:4" x14ac:dyDescent="0.3">
      <c r="A49" t="s">
        <v>196</v>
      </c>
      <c r="B49" t="s">
        <v>197</v>
      </c>
      <c r="C49" t="s">
        <v>732</v>
      </c>
      <c r="D49" t="s">
        <v>738</v>
      </c>
    </row>
    <row r="50" spans="1:4" x14ac:dyDescent="0.3">
      <c r="A50" t="s">
        <v>198</v>
      </c>
      <c r="B50" t="s">
        <v>199</v>
      </c>
      <c r="C50" t="s">
        <v>732</v>
      </c>
      <c r="D50" t="s">
        <v>733</v>
      </c>
    </row>
    <row r="51" spans="1:4" x14ac:dyDescent="0.3">
      <c r="A51" t="s">
        <v>200</v>
      </c>
      <c r="B51" t="s">
        <v>201</v>
      </c>
      <c r="C51" t="s">
        <v>734</v>
      </c>
      <c r="D51" t="s">
        <v>735</v>
      </c>
    </row>
    <row r="52" spans="1:4" x14ac:dyDescent="0.3">
      <c r="A52" t="s">
        <v>202</v>
      </c>
      <c r="B52" t="s">
        <v>203</v>
      </c>
      <c r="C52" t="s">
        <v>732</v>
      </c>
      <c r="D52" t="s">
        <v>733</v>
      </c>
    </row>
    <row r="53" spans="1:4" x14ac:dyDescent="0.3">
      <c r="A53" t="s">
        <v>204</v>
      </c>
      <c r="B53" t="s">
        <v>205</v>
      </c>
      <c r="C53" t="s">
        <v>734</v>
      </c>
      <c r="D53" t="s">
        <v>743</v>
      </c>
    </row>
    <row r="54" spans="1:4" x14ac:dyDescent="0.3">
      <c r="A54" t="s">
        <v>206</v>
      </c>
      <c r="B54" t="s">
        <v>207</v>
      </c>
      <c r="C54" t="s">
        <v>728</v>
      </c>
      <c r="D54" t="s">
        <v>748</v>
      </c>
    </row>
    <row r="55" spans="1:4" x14ac:dyDescent="0.3">
      <c r="A55" t="s">
        <v>208</v>
      </c>
      <c r="B55" t="s">
        <v>209</v>
      </c>
      <c r="C55" t="s">
        <v>734</v>
      </c>
      <c r="D55" t="s">
        <v>743</v>
      </c>
    </row>
    <row r="56" spans="1:4" x14ac:dyDescent="0.3">
      <c r="A56" t="s">
        <v>210</v>
      </c>
      <c r="B56" t="s">
        <v>211</v>
      </c>
      <c r="C56" t="s">
        <v>732</v>
      </c>
      <c r="D56" t="s">
        <v>738</v>
      </c>
    </row>
    <row r="57" spans="1:4" x14ac:dyDescent="0.3">
      <c r="A57" t="s">
        <v>212</v>
      </c>
      <c r="B57" t="s">
        <v>213</v>
      </c>
      <c r="C57" t="s">
        <v>734</v>
      </c>
      <c r="D57" t="s">
        <v>749</v>
      </c>
    </row>
    <row r="58" spans="1:4" x14ac:dyDescent="0.3">
      <c r="A58" t="s">
        <v>214</v>
      </c>
      <c r="B58" t="s">
        <v>215</v>
      </c>
      <c r="C58" t="s">
        <v>734</v>
      </c>
      <c r="D58" t="s">
        <v>750</v>
      </c>
    </row>
    <row r="59" spans="1:4" x14ac:dyDescent="0.3">
      <c r="A59" t="s">
        <v>216</v>
      </c>
      <c r="B59" t="s">
        <v>217</v>
      </c>
      <c r="C59" t="s">
        <v>734</v>
      </c>
      <c r="D59" t="s">
        <v>742</v>
      </c>
    </row>
    <row r="60" spans="1:4" x14ac:dyDescent="0.3">
      <c r="A60" t="s">
        <v>218</v>
      </c>
      <c r="B60" t="s">
        <v>219</v>
      </c>
      <c r="C60" t="s">
        <v>732</v>
      </c>
      <c r="D60" t="s">
        <v>738</v>
      </c>
    </row>
    <row r="61" spans="1:4" x14ac:dyDescent="0.3">
      <c r="A61" t="s">
        <v>220</v>
      </c>
      <c r="B61" t="s">
        <v>221</v>
      </c>
      <c r="C61" t="s">
        <v>732</v>
      </c>
      <c r="D61" t="s">
        <v>733</v>
      </c>
    </row>
    <row r="62" spans="1:4" x14ac:dyDescent="0.3">
      <c r="A62" t="s">
        <v>222</v>
      </c>
      <c r="B62" t="s">
        <v>223</v>
      </c>
      <c r="C62" t="s">
        <v>732</v>
      </c>
      <c r="D62" t="s">
        <v>738</v>
      </c>
    </row>
    <row r="63" spans="1:4" x14ac:dyDescent="0.3">
      <c r="A63" t="s">
        <v>224</v>
      </c>
      <c r="B63" t="s">
        <v>225</v>
      </c>
      <c r="C63" t="s">
        <v>732</v>
      </c>
      <c r="D63" t="s">
        <v>752</v>
      </c>
    </row>
    <row r="64" spans="1:4" x14ac:dyDescent="0.3">
      <c r="A64" t="s">
        <v>226</v>
      </c>
      <c r="B64" t="s">
        <v>227</v>
      </c>
      <c r="C64" t="s">
        <v>728</v>
      </c>
      <c r="D64" t="s">
        <v>755</v>
      </c>
    </row>
    <row r="65" spans="1:4" x14ac:dyDescent="0.3">
      <c r="A65" t="s">
        <v>228</v>
      </c>
      <c r="B65" t="s">
        <v>229</v>
      </c>
      <c r="C65" t="s">
        <v>728</v>
      </c>
      <c r="D65" t="s">
        <v>756</v>
      </c>
    </row>
    <row r="66" spans="1:4" x14ac:dyDescent="0.3">
      <c r="A66" t="s">
        <v>230</v>
      </c>
      <c r="B66" t="s">
        <v>231</v>
      </c>
      <c r="C66" t="s">
        <v>728</v>
      </c>
      <c r="D66" t="s">
        <v>757</v>
      </c>
    </row>
    <row r="67" spans="1:4" x14ac:dyDescent="0.3">
      <c r="A67" t="s">
        <v>232</v>
      </c>
      <c r="B67" t="s">
        <v>233</v>
      </c>
      <c r="C67" t="s">
        <v>728</v>
      </c>
      <c r="D67" t="s">
        <v>755</v>
      </c>
    </row>
    <row r="68" spans="1:4" x14ac:dyDescent="0.3">
      <c r="A68" t="s">
        <v>234</v>
      </c>
      <c r="B68" t="s">
        <v>235</v>
      </c>
      <c r="C68" t="s">
        <v>728</v>
      </c>
      <c r="D68" t="s">
        <v>756</v>
      </c>
    </row>
    <row r="69" spans="1:4" x14ac:dyDescent="0.3">
      <c r="A69" t="s">
        <v>236</v>
      </c>
      <c r="B69" t="s">
        <v>237</v>
      </c>
      <c r="C69" t="s">
        <v>728</v>
      </c>
      <c r="D69" t="s">
        <v>748</v>
      </c>
    </row>
    <row r="70" spans="1:4" x14ac:dyDescent="0.3">
      <c r="A70" t="s">
        <v>238</v>
      </c>
      <c r="B70" t="s">
        <v>239</v>
      </c>
      <c r="C70" t="s">
        <v>732</v>
      </c>
      <c r="D70" t="s">
        <v>733</v>
      </c>
    </row>
    <row r="71" spans="1:4" x14ac:dyDescent="0.3">
      <c r="A71" t="s">
        <v>240</v>
      </c>
      <c r="B71" t="s">
        <v>241</v>
      </c>
      <c r="C71" t="s">
        <v>732</v>
      </c>
      <c r="D71" t="s">
        <v>733</v>
      </c>
    </row>
    <row r="72" spans="1:4" x14ac:dyDescent="0.3">
      <c r="A72" t="s">
        <v>242</v>
      </c>
      <c r="B72" t="s">
        <v>243</v>
      </c>
      <c r="C72" t="s">
        <v>732</v>
      </c>
      <c r="D72" t="s">
        <v>733</v>
      </c>
    </row>
    <row r="73" spans="1:4" x14ac:dyDescent="0.3">
      <c r="A73" t="s">
        <v>244</v>
      </c>
      <c r="B73" t="s">
        <v>245</v>
      </c>
      <c r="C73" t="s">
        <v>728</v>
      </c>
      <c r="D73" t="s">
        <v>729</v>
      </c>
    </row>
    <row r="74" spans="1:4" x14ac:dyDescent="0.3">
      <c r="A74" t="s">
        <v>246</v>
      </c>
      <c r="B74" t="s">
        <v>247</v>
      </c>
      <c r="C74" t="s">
        <v>732</v>
      </c>
      <c r="D74" t="s">
        <v>733</v>
      </c>
    </row>
    <row r="75" spans="1:4" x14ac:dyDescent="0.3">
      <c r="A75" t="s">
        <v>248</v>
      </c>
      <c r="B75" t="s">
        <v>249</v>
      </c>
      <c r="C75" t="s">
        <v>732</v>
      </c>
      <c r="D75" t="s">
        <v>738</v>
      </c>
    </row>
    <row r="76" spans="1:4" x14ac:dyDescent="0.3">
      <c r="A76" t="s">
        <v>250</v>
      </c>
      <c r="B76" t="s">
        <v>251</v>
      </c>
      <c r="C76" t="s">
        <v>732</v>
      </c>
      <c r="D76" t="s">
        <v>733</v>
      </c>
    </row>
    <row r="77" spans="1:4" x14ac:dyDescent="0.3">
      <c r="A77" t="s">
        <v>252</v>
      </c>
      <c r="B77" t="s">
        <v>253</v>
      </c>
      <c r="C77" t="s">
        <v>734</v>
      </c>
      <c r="D77" t="s">
        <v>743</v>
      </c>
    </row>
    <row r="78" spans="1:4" x14ac:dyDescent="0.3">
      <c r="A78" t="s">
        <v>254</v>
      </c>
      <c r="B78" t="s">
        <v>255</v>
      </c>
      <c r="C78" t="s">
        <v>734</v>
      </c>
      <c r="D78" t="s">
        <v>735</v>
      </c>
    </row>
    <row r="79" spans="1:4" x14ac:dyDescent="0.3">
      <c r="A79" t="s">
        <v>256</v>
      </c>
      <c r="B79" t="s">
        <v>257</v>
      </c>
      <c r="C79" t="s">
        <v>732</v>
      </c>
      <c r="D79" t="s">
        <v>733</v>
      </c>
    </row>
    <row r="80" spans="1:4" x14ac:dyDescent="0.3">
      <c r="A80" t="s">
        <v>258</v>
      </c>
      <c r="B80" t="s">
        <v>259</v>
      </c>
      <c r="C80" t="s">
        <v>732</v>
      </c>
      <c r="D80" t="s">
        <v>733</v>
      </c>
    </row>
    <row r="81" spans="1:4" x14ac:dyDescent="0.3">
      <c r="A81" t="s">
        <v>260</v>
      </c>
      <c r="B81" t="s">
        <v>261</v>
      </c>
      <c r="C81" t="s">
        <v>734</v>
      </c>
      <c r="D81" t="s">
        <v>735</v>
      </c>
    </row>
    <row r="82" spans="1:4" x14ac:dyDescent="0.3">
      <c r="A82" t="s">
        <v>262</v>
      </c>
      <c r="B82" t="s">
        <v>263</v>
      </c>
      <c r="C82" t="s">
        <v>728</v>
      </c>
      <c r="D82" t="s">
        <v>759</v>
      </c>
    </row>
    <row r="83" spans="1:4" x14ac:dyDescent="0.3">
      <c r="A83" t="s">
        <v>264</v>
      </c>
      <c r="B83" t="s">
        <v>265</v>
      </c>
      <c r="C83" t="s">
        <v>732</v>
      </c>
      <c r="D83" t="s">
        <v>738</v>
      </c>
    </row>
    <row r="84" spans="1:4" x14ac:dyDescent="0.3">
      <c r="A84" t="s">
        <v>266</v>
      </c>
      <c r="B84" t="s">
        <v>267</v>
      </c>
      <c r="C84" t="s">
        <v>732</v>
      </c>
      <c r="D84" t="s">
        <v>763</v>
      </c>
    </row>
    <row r="85" spans="1:4" x14ac:dyDescent="0.3">
      <c r="A85" t="s">
        <v>268</v>
      </c>
      <c r="B85" t="s">
        <v>269</v>
      </c>
      <c r="C85" t="s">
        <v>732</v>
      </c>
      <c r="D85" t="s">
        <v>752</v>
      </c>
    </row>
    <row r="86" spans="1:4" x14ac:dyDescent="0.3">
      <c r="A86" t="s">
        <v>270</v>
      </c>
      <c r="B86" t="s">
        <v>271</v>
      </c>
      <c r="C86" t="s">
        <v>728</v>
      </c>
      <c r="D86" t="s">
        <v>759</v>
      </c>
    </row>
    <row r="87" spans="1:4" x14ac:dyDescent="0.3">
      <c r="A87" t="s">
        <v>272</v>
      </c>
      <c r="B87" t="s">
        <v>273</v>
      </c>
      <c r="C87" t="s">
        <v>728</v>
      </c>
      <c r="D87" t="s">
        <v>759</v>
      </c>
    </row>
    <row r="88" spans="1:4" x14ac:dyDescent="0.3">
      <c r="A88" t="s">
        <v>274</v>
      </c>
      <c r="B88" t="s">
        <v>275</v>
      </c>
      <c r="C88" t="s">
        <v>734</v>
      </c>
      <c r="D88" t="s">
        <v>735</v>
      </c>
    </row>
    <row r="89" spans="1:4" x14ac:dyDescent="0.3">
      <c r="A89" t="s">
        <v>276</v>
      </c>
      <c r="B89" t="s">
        <v>277</v>
      </c>
      <c r="C89" t="s">
        <v>728</v>
      </c>
      <c r="D89" t="s">
        <v>759</v>
      </c>
    </row>
    <row r="90" spans="1:4" x14ac:dyDescent="0.3">
      <c r="A90" t="s">
        <v>278</v>
      </c>
      <c r="B90" t="s">
        <v>279</v>
      </c>
      <c r="C90" t="s">
        <v>728</v>
      </c>
      <c r="D90" t="s">
        <v>759</v>
      </c>
    </row>
    <row r="91" spans="1:4" x14ac:dyDescent="0.3">
      <c r="A91" t="s">
        <v>280</v>
      </c>
      <c r="B91" t="s">
        <v>281</v>
      </c>
      <c r="C91" t="s">
        <v>728</v>
      </c>
      <c r="D91" t="s">
        <v>759</v>
      </c>
    </row>
    <row r="92" spans="1:4" x14ac:dyDescent="0.3">
      <c r="A92" t="s">
        <v>282</v>
      </c>
      <c r="B92" t="s">
        <v>283</v>
      </c>
      <c r="C92" t="s">
        <v>728</v>
      </c>
      <c r="D92" t="s">
        <v>759</v>
      </c>
    </row>
    <row r="93" spans="1:4" x14ac:dyDescent="0.3">
      <c r="A93" t="s">
        <v>284</v>
      </c>
      <c r="B93" t="s">
        <v>285</v>
      </c>
      <c r="C93" t="s">
        <v>732</v>
      </c>
      <c r="D93" t="s">
        <v>738</v>
      </c>
    </row>
    <row r="94" spans="1:4" x14ac:dyDescent="0.3">
      <c r="A94" t="s">
        <v>286</v>
      </c>
      <c r="B94" t="s">
        <v>287</v>
      </c>
      <c r="C94" t="s">
        <v>732</v>
      </c>
      <c r="D94" t="s">
        <v>738</v>
      </c>
    </row>
    <row r="95" spans="1:4" x14ac:dyDescent="0.3">
      <c r="A95" t="s">
        <v>288</v>
      </c>
      <c r="B95" t="s">
        <v>289</v>
      </c>
      <c r="C95" t="s">
        <v>732</v>
      </c>
      <c r="D95" t="s">
        <v>739</v>
      </c>
    </row>
    <row r="96" spans="1:4" x14ac:dyDescent="0.3">
      <c r="A96" t="s">
        <v>290</v>
      </c>
      <c r="B96" t="s">
        <v>291</v>
      </c>
      <c r="C96" t="s">
        <v>728</v>
      </c>
      <c r="D96" t="s">
        <v>729</v>
      </c>
    </row>
    <row r="97" spans="1:4" x14ac:dyDescent="0.3">
      <c r="A97" t="s">
        <v>292</v>
      </c>
      <c r="B97" t="s">
        <v>293</v>
      </c>
      <c r="C97" t="s">
        <v>734</v>
      </c>
      <c r="D97" t="s">
        <v>766</v>
      </c>
    </row>
    <row r="98" spans="1:4" x14ac:dyDescent="0.3">
      <c r="A98" t="s">
        <v>294</v>
      </c>
      <c r="B98" t="s">
        <v>295</v>
      </c>
      <c r="C98" t="s">
        <v>732</v>
      </c>
      <c r="D98" t="s">
        <v>733</v>
      </c>
    </row>
    <row r="99" spans="1:4" x14ac:dyDescent="0.3">
      <c r="A99" t="s">
        <v>296</v>
      </c>
      <c r="B99" t="s">
        <v>297</v>
      </c>
      <c r="C99" t="s">
        <v>734</v>
      </c>
      <c r="D99" t="s">
        <v>767</v>
      </c>
    </row>
    <row r="100" spans="1:4" x14ac:dyDescent="0.3">
      <c r="A100" t="s">
        <v>298</v>
      </c>
      <c r="B100" t="s">
        <v>299</v>
      </c>
      <c r="C100" t="s">
        <v>732</v>
      </c>
      <c r="D100" t="s">
        <v>733</v>
      </c>
    </row>
    <row r="101" spans="1:4" x14ac:dyDescent="0.3">
      <c r="A101" t="s">
        <v>300</v>
      </c>
      <c r="B101" t="s">
        <v>301</v>
      </c>
      <c r="C101" t="s">
        <v>728</v>
      </c>
      <c r="D101" t="s">
        <v>730</v>
      </c>
    </row>
    <row r="102" spans="1:4" x14ac:dyDescent="0.3">
      <c r="A102" t="s">
        <v>302</v>
      </c>
      <c r="B102" t="s">
        <v>303</v>
      </c>
      <c r="C102" t="s">
        <v>728</v>
      </c>
      <c r="D102" t="s">
        <v>730</v>
      </c>
    </row>
    <row r="103" spans="1:4" x14ac:dyDescent="0.3">
      <c r="A103" t="s">
        <v>304</v>
      </c>
      <c r="B103" t="s">
        <v>305</v>
      </c>
      <c r="C103" t="s">
        <v>732</v>
      </c>
      <c r="D103" t="s">
        <v>733</v>
      </c>
    </row>
    <row r="104" spans="1:4" x14ac:dyDescent="0.3">
      <c r="A104" t="s">
        <v>306</v>
      </c>
      <c r="B104" t="s">
        <v>307</v>
      </c>
      <c r="C104" t="s">
        <v>728</v>
      </c>
      <c r="D104" t="s">
        <v>730</v>
      </c>
    </row>
    <row r="105" spans="1:4" x14ac:dyDescent="0.3">
      <c r="A105" t="s">
        <v>308</v>
      </c>
      <c r="B105" t="s">
        <v>309</v>
      </c>
      <c r="C105" t="s">
        <v>728</v>
      </c>
      <c r="D105" t="s">
        <v>730</v>
      </c>
    </row>
    <row r="106" spans="1:4" x14ac:dyDescent="0.3">
      <c r="A106" t="s">
        <v>310</v>
      </c>
      <c r="B106" t="s">
        <v>311</v>
      </c>
      <c r="C106" t="s">
        <v>732</v>
      </c>
      <c r="D106" t="s">
        <v>752</v>
      </c>
    </row>
    <row r="107" spans="1:4" x14ac:dyDescent="0.3">
      <c r="A107" t="s">
        <v>312</v>
      </c>
      <c r="B107" t="s">
        <v>313</v>
      </c>
      <c r="C107" t="s">
        <v>732</v>
      </c>
      <c r="D107" t="s">
        <v>738</v>
      </c>
    </row>
    <row r="108" spans="1:4" x14ac:dyDescent="0.3">
      <c r="A108" t="s">
        <v>314</v>
      </c>
      <c r="B108" t="s">
        <v>315</v>
      </c>
      <c r="C108" t="s">
        <v>732</v>
      </c>
      <c r="D108" t="s">
        <v>738</v>
      </c>
    </row>
    <row r="109" spans="1:4" x14ac:dyDescent="0.3">
      <c r="A109" t="s">
        <v>321</v>
      </c>
      <c r="B109" t="s">
        <v>322</v>
      </c>
      <c r="C109" t="s">
        <v>734</v>
      </c>
      <c r="D109" t="s">
        <v>743</v>
      </c>
    </row>
    <row r="110" spans="1:4" x14ac:dyDescent="0.3">
      <c r="A110" t="s">
        <v>325</v>
      </c>
      <c r="B110" t="s">
        <v>326</v>
      </c>
      <c r="C110" t="s">
        <v>732</v>
      </c>
      <c r="D110" t="s">
        <v>733</v>
      </c>
    </row>
    <row r="111" spans="1:4" x14ac:dyDescent="0.3">
      <c r="A111" t="s">
        <v>357</v>
      </c>
      <c r="B111" t="s">
        <v>358</v>
      </c>
      <c r="C111" t="s">
        <v>734</v>
      </c>
      <c r="D111" t="s">
        <v>773</v>
      </c>
    </row>
    <row r="112" spans="1:4" x14ac:dyDescent="0.3">
      <c r="A112" t="s">
        <v>362</v>
      </c>
      <c r="B112" t="s">
        <v>363</v>
      </c>
      <c r="C112" t="s">
        <v>728</v>
      </c>
      <c r="D112" t="s">
        <v>729</v>
      </c>
    </row>
    <row r="113" spans="1:4" x14ac:dyDescent="0.3">
      <c r="A113" t="s">
        <v>364</v>
      </c>
      <c r="B113" t="s">
        <v>365</v>
      </c>
      <c r="C113" t="s">
        <v>728</v>
      </c>
      <c r="D113" t="s">
        <v>729</v>
      </c>
    </row>
    <row r="114" spans="1:4" x14ac:dyDescent="0.3">
      <c r="A114" t="s">
        <v>366</v>
      </c>
      <c r="B114" t="s">
        <v>367</v>
      </c>
      <c r="C114" t="s">
        <v>728</v>
      </c>
      <c r="D114" t="s">
        <v>729</v>
      </c>
    </row>
    <row r="115" spans="1:4" x14ac:dyDescent="0.3">
      <c r="A115" t="s">
        <v>368</v>
      </c>
      <c r="B115" t="s">
        <v>369</v>
      </c>
      <c r="C115" t="s">
        <v>728</v>
      </c>
      <c r="D115" t="s">
        <v>729</v>
      </c>
    </row>
    <row r="116" spans="1:4" x14ac:dyDescent="0.3">
      <c r="A116" t="s">
        <v>370</v>
      </c>
      <c r="B116" t="s">
        <v>371</v>
      </c>
      <c r="C116" t="s">
        <v>728</v>
      </c>
      <c r="D116" t="s">
        <v>729</v>
      </c>
    </row>
    <row r="117" spans="1:4" x14ac:dyDescent="0.3">
      <c r="A117" t="s">
        <v>372</v>
      </c>
      <c r="B117" t="s">
        <v>373</v>
      </c>
      <c r="C117" t="s">
        <v>728</v>
      </c>
      <c r="D117" t="s">
        <v>729</v>
      </c>
    </row>
    <row r="118" spans="1:4" x14ac:dyDescent="0.3">
      <c r="A118" t="s">
        <v>374</v>
      </c>
      <c r="B118" t="s">
        <v>375</v>
      </c>
      <c r="C118" t="s">
        <v>728</v>
      </c>
      <c r="D118" t="s">
        <v>729</v>
      </c>
    </row>
    <row r="119" spans="1:4" x14ac:dyDescent="0.3">
      <c r="A119" t="s">
        <v>382</v>
      </c>
      <c r="B119" t="s">
        <v>383</v>
      </c>
      <c r="C119" t="s">
        <v>728</v>
      </c>
      <c r="D119" t="s">
        <v>729</v>
      </c>
    </row>
    <row r="120" spans="1:4" x14ac:dyDescent="0.3">
      <c r="A120" t="s">
        <v>384</v>
      </c>
      <c r="B120" t="s">
        <v>385</v>
      </c>
      <c r="C120" t="s">
        <v>728</v>
      </c>
      <c r="D120" t="s">
        <v>729</v>
      </c>
    </row>
    <row r="121" spans="1:4" x14ac:dyDescent="0.3">
      <c r="A121" t="s">
        <v>386</v>
      </c>
      <c r="B121" t="s">
        <v>387</v>
      </c>
      <c r="C121" t="s">
        <v>728</v>
      </c>
      <c r="D121" t="s">
        <v>729</v>
      </c>
    </row>
    <row r="122" spans="1:4" x14ac:dyDescent="0.3">
      <c r="A122" t="s">
        <v>406</v>
      </c>
      <c r="B122" t="s">
        <v>407</v>
      </c>
      <c r="C122" t="s">
        <v>728</v>
      </c>
      <c r="D122" t="s">
        <v>730</v>
      </c>
    </row>
    <row r="123" spans="1:4" x14ac:dyDescent="0.3">
      <c r="A123" t="s">
        <v>408</v>
      </c>
      <c r="B123" t="s">
        <v>409</v>
      </c>
      <c r="C123" t="s">
        <v>734</v>
      </c>
      <c r="D123" t="s">
        <v>777</v>
      </c>
    </row>
    <row r="124" spans="1:4" x14ac:dyDescent="0.3">
      <c r="A124" t="s">
        <v>410</v>
      </c>
      <c r="B124" t="s">
        <v>411</v>
      </c>
      <c r="C124" t="s">
        <v>732</v>
      </c>
      <c r="D124" t="s">
        <v>738</v>
      </c>
    </row>
    <row r="125" spans="1:4" x14ac:dyDescent="0.3">
      <c r="A125" t="s">
        <v>412</v>
      </c>
      <c r="B125" t="s">
        <v>413</v>
      </c>
      <c r="C125" t="s">
        <v>732</v>
      </c>
      <c r="D125" t="s">
        <v>738</v>
      </c>
    </row>
    <row r="126" spans="1:4" x14ac:dyDescent="0.3">
      <c r="A126" t="s">
        <v>414</v>
      </c>
      <c r="B126" t="s">
        <v>415</v>
      </c>
      <c r="C126" t="s">
        <v>732</v>
      </c>
      <c r="D126" t="s">
        <v>733</v>
      </c>
    </row>
    <row r="127" spans="1:4" x14ac:dyDescent="0.3">
      <c r="A127" t="s">
        <v>416</v>
      </c>
      <c r="B127" t="s">
        <v>417</v>
      </c>
      <c r="C127" t="s">
        <v>732</v>
      </c>
      <c r="D127" t="s">
        <v>739</v>
      </c>
    </row>
    <row r="128" spans="1:4" x14ac:dyDescent="0.3">
      <c r="A128" t="s">
        <v>418</v>
      </c>
      <c r="B128" t="s">
        <v>419</v>
      </c>
      <c r="C128" t="s">
        <v>732</v>
      </c>
      <c r="D128" t="s">
        <v>738</v>
      </c>
    </row>
    <row r="129" spans="1:4" x14ac:dyDescent="0.3">
      <c r="A129" t="s">
        <v>420</v>
      </c>
      <c r="B129" t="s">
        <v>421</v>
      </c>
      <c r="C129" t="s">
        <v>732</v>
      </c>
      <c r="D129" t="s">
        <v>733</v>
      </c>
    </row>
    <row r="130" spans="1:4" x14ac:dyDescent="0.3">
      <c r="A130" t="s">
        <v>422</v>
      </c>
      <c r="B130" t="s">
        <v>423</v>
      </c>
      <c r="C130" t="s">
        <v>728</v>
      </c>
      <c r="D130" t="s">
        <v>729</v>
      </c>
    </row>
    <row r="131" spans="1:4" x14ac:dyDescent="0.3">
      <c r="A131" t="s">
        <v>424</v>
      </c>
      <c r="B131" t="s">
        <v>425</v>
      </c>
      <c r="C131" t="s">
        <v>732</v>
      </c>
      <c r="D131" t="s">
        <v>733</v>
      </c>
    </row>
    <row r="132" spans="1:4" x14ac:dyDescent="0.3">
      <c r="A132" t="s">
        <v>428</v>
      </c>
      <c r="B132" t="s">
        <v>429</v>
      </c>
      <c r="C132" t="s">
        <v>734</v>
      </c>
      <c r="D132" t="s">
        <v>783</v>
      </c>
    </row>
    <row r="133" spans="1:4" x14ac:dyDescent="0.3">
      <c r="A133" t="s">
        <v>430</v>
      </c>
      <c r="B133" t="s">
        <v>431</v>
      </c>
      <c r="C133" t="s">
        <v>732</v>
      </c>
      <c r="D133" t="s">
        <v>733</v>
      </c>
    </row>
    <row r="134" spans="1:4" x14ac:dyDescent="0.3">
      <c r="A134" t="s">
        <v>432</v>
      </c>
      <c r="B134" t="s">
        <v>433</v>
      </c>
      <c r="C134" t="s">
        <v>732</v>
      </c>
      <c r="D134" t="s">
        <v>733</v>
      </c>
    </row>
    <row r="135" spans="1:4" x14ac:dyDescent="0.3">
      <c r="A135" t="s">
        <v>434</v>
      </c>
      <c r="B135" t="s">
        <v>435</v>
      </c>
      <c r="C135" t="s">
        <v>732</v>
      </c>
      <c r="D135" t="s">
        <v>738</v>
      </c>
    </row>
    <row r="136" spans="1:4" x14ac:dyDescent="0.3">
      <c r="A136" t="s">
        <v>436</v>
      </c>
      <c r="B136" t="s">
        <v>437</v>
      </c>
      <c r="C136" t="s">
        <v>732</v>
      </c>
      <c r="D136" t="s">
        <v>738</v>
      </c>
    </row>
    <row r="137" spans="1:4" x14ac:dyDescent="0.3">
      <c r="A137" t="s">
        <v>438</v>
      </c>
      <c r="B137" t="s">
        <v>439</v>
      </c>
      <c r="C137" t="s">
        <v>732</v>
      </c>
      <c r="D137" t="s">
        <v>738</v>
      </c>
    </row>
    <row r="138" spans="1:4" x14ac:dyDescent="0.3">
      <c r="A138" t="s">
        <v>440</v>
      </c>
      <c r="B138" t="s">
        <v>441</v>
      </c>
      <c r="C138" t="s">
        <v>732</v>
      </c>
      <c r="D138" t="s">
        <v>738</v>
      </c>
    </row>
    <row r="139" spans="1:4" x14ac:dyDescent="0.3">
      <c r="A139" t="s">
        <v>442</v>
      </c>
      <c r="B139" t="s">
        <v>443</v>
      </c>
      <c r="C139" t="s">
        <v>732</v>
      </c>
      <c r="D139" t="s">
        <v>738</v>
      </c>
    </row>
    <row r="140" spans="1:4" x14ac:dyDescent="0.3">
      <c r="A140" t="s">
        <v>444</v>
      </c>
      <c r="B140" t="s">
        <v>445</v>
      </c>
      <c r="C140" t="s">
        <v>732</v>
      </c>
      <c r="D140" t="s">
        <v>785</v>
      </c>
    </row>
    <row r="141" spans="1:4" x14ac:dyDescent="0.3">
      <c r="A141" t="s">
        <v>446</v>
      </c>
      <c r="B141" t="s">
        <v>447</v>
      </c>
      <c r="C141" t="s">
        <v>732</v>
      </c>
      <c r="D141" t="s">
        <v>739</v>
      </c>
    </row>
    <row r="142" spans="1:4" x14ac:dyDescent="0.3">
      <c r="A142" t="s">
        <v>448</v>
      </c>
      <c r="B142" t="s">
        <v>449</v>
      </c>
      <c r="C142" t="s">
        <v>732</v>
      </c>
      <c r="D142" t="s">
        <v>738</v>
      </c>
    </row>
    <row r="143" spans="1:4" x14ac:dyDescent="0.3">
      <c r="A143" t="s">
        <v>450</v>
      </c>
      <c r="B143" t="s">
        <v>451</v>
      </c>
      <c r="C143" t="s">
        <v>728</v>
      </c>
      <c r="D143" t="s">
        <v>729</v>
      </c>
    </row>
    <row r="144" spans="1:4" x14ac:dyDescent="0.3">
      <c r="A144" t="s">
        <v>452</v>
      </c>
      <c r="B144" t="s">
        <v>453</v>
      </c>
      <c r="C144" t="s">
        <v>728</v>
      </c>
      <c r="D144" t="s">
        <v>729</v>
      </c>
    </row>
    <row r="145" spans="1:4" x14ac:dyDescent="0.3">
      <c r="A145" t="s">
        <v>454</v>
      </c>
      <c r="B145" t="s">
        <v>455</v>
      </c>
      <c r="C145" t="s">
        <v>732</v>
      </c>
      <c r="D145" t="s">
        <v>733</v>
      </c>
    </row>
    <row r="146" spans="1:4" x14ac:dyDescent="0.3">
      <c r="A146" t="s">
        <v>456</v>
      </c>
      <c r="B146" t="s">
        <v>457</v>
      </c>
      <c r="C146" t="s">
        <v>732</v>
      </c>
      <c r="D146" t="s">
        <v>785</v>
      </c>
    </row>
    <row r="147" spans="1:4" x14ac:dyDescent="0.3">
      <c r="A147" t="s">
        <v>458</v>
      </c>
      <c r="B147" t="s">
        <v>459</v>
      </c>
      <c r="C147" t="s">
        <v>732</v>
      </c>
      <c r="D147" t="s">
        <v>739</v>
      </c>
    </row>
    <row r="148" spans="1:4" x14ac:dyDescent="0.3">
      <c r="A148" t="s">
        <v>460</v>
      </c>
      <c r="B148" t="s">
        <v>461</v>
      </c>
      <c r="C148" t="s">
        <v>732</v>
      </c>
      <c r="D148" t="s">
        <v>738</v>
      </c>
    </row>
    <row r="149" spans="1:4" x14ac:dyDescent="0.3">
      <c r="A149" t="s">
        <v>462</v>
      </c>
      <c r="B149" t="s">
        <v>463</v>
      </c>
      <c r="C149" t="s">
        <v>728</v>
      </c>
      <c r="D149" t="s">
        <v>729</v>
      </c>
    </row>
    <row r="150" spans="1:4" x14ac:dyDescent="0.3">
      <c r="A150" t="s">
        <v>464</v>
      </c>
      <c r="B150" t="s">
        <v>465</v>
      </c>
      <c r="C150" t="s">
        <v>728</v>
      </c>
      <c r="D150" t="s">
        <v>748</v>
      </c>
    </row>
    <row r="151" spans="1:4" x14ac:dyDescent="0.3">
      <c r="A151" t="s">
        <v>466</v>
      </c>
      <c r="B151" t="s">
        <v>467</v>
      </c>
      <c r="C151" t="s">
        <v>728</v>
      </c>
      <c r="D151" t="s">
        <v>729</v>
      </c>
    </row>
    <row r="152" spans="1:4" x14ac:dyDescent="0.3">
      <c r="A152" t="s">
        <v>468</v>
      </c>
      <c r="B152" t="s">
        <v>469</v>
      </c>
      <c r="C152" t="s">
        <v>732</v>
      </c>
      <c r="D152" t="s">
        <v>733</v>
      </c>
    </row>
    <row r="153" spans="1:4" x14ac:dyDescent="0.3">
      <c r="A153" t="s">
        <v>470</v>
      </c>
      <c r="B153" t="s">
        <v>471</v>
      </c>
      <c r="C153" t="s">
        <v>732</v>
      </c>
      <c r="D153" t="s">
        <v>739</v>
      </c>
    </row>
    <row r="154" spans="1:4" x14ac:dyDescent="0.3">
      <c r="A154" t="s">
        <v>472</v>
      </c>
      <c r="B154" t="s">
        <v>473</v>
      </c>
      <c r="C154" t="s">
        <v>728</v>
      </c>
      <c r="D154" t="s">
        <v>748</v>
      </c>
    </row>
    <row r="155" spans="1:4" x14ac:dyDescent="0.3">
      <c r="A155" t="s">
        <v>474</v>
      </c>
      <c r="B155" t="s">
        <v>475</v>
      </c>
      <c r="C155" t="s">
        <v>732</v>
      </c>
      <c r="D155" t="s">
        <v>733</v>
      </c>
    </row>
    <row r="156" spans="1:4" x14ac:dyDescent="0.3">
      <c r="A156" t="s">
        <v>510</v>
      </c>
      <c r="B156" t="s">
        <v>511</v>
      </c>
      <c r="C156" t="s">
        <v>728</v>
      </c>
      <c r="D156" t="s">
        <v>792</v>
      </c>
    </row>
    <row r="157" spans="1:4" x14ac:dyDescent="0.3">
      <c r="A157" t="s">
        <v>512</v>
      </c>
      <c r="B157" t="s">
        <v>513</v>
      </c>
      <c r="C157" t="s">
        <v>728</v>
      </c>
      <c r="D157" t="s">
        <v>730</v>
      </c>
    </row>
    <row r="158" spans="1:4" x14ac:dyDescent="0.3">
      <c r="A158" t="s">
        <v>514</v>
      </c>
      <c r="B158" t="s">
        <v>515</v>
      </c>
      <c r="C158" t="s">
        <v>728</v>
      </c>
      <c r="D158" t="s">
        <v>792</v>
      </c>
    </row>
    <row r="159" spans="1:4" x14ac:dyDescent="0.3">
      <c r="A159" t="s">
        <v>516</v>
      </c>
      <c r="B159" t="s">
        <v>517</v>
      </c>
      <c r="C159" t="s">
        <v>728</v>
      </c>
      <c r="D159" t="s">
        <v>796</v>
      </c>
    </row>
    <row r="160" spans="1:4" x14ac:dyDescent="0.3">
      <c r="A160" t="s">
        <v>518</v>
      </c>
      <c r="B160" t="s">
        <v>519</v>
      </c>
      <c r="C160" t="s">
        <v>728</v>
      </c>
      <c r="D160" t="s">
        <v>792</v>
      </c>
    </row>
    <row r="161" spans="1:4" x14ac:dyDescent="0.3">
      <c r="A161" t="s">
        <v>520</v>
      </c>
      <c r="B161" t="s">
        <v>521</v>
      </c>
      <c r="C161" t="s">
        <v>728</v>
      </c>
      <c r="D161" t="s">
        <v>792</v>
      </c>
    </row>
    <row r="162" spans="1:4" x14ac:dyDescent="0.3">
      <c r="A162" t="s">
        <v>522</v>
      </c>
      <c r="B162" t="s">
        <v>523</v>
      </c>
      <c r="C162" t="s">
        <v>728</v>
      </c>
      <c r="D162" t="s">
        <v>748</v>
      </c>
    </row>
    <row r="163" spans="1:4" x14ac:dyDescent="0.3">
      <c r="A163" t="s">
        <v>524</v>
      </c>
      <c r="B163" t="s">
        <v>525</v>
      </c>
      <c r="C163" t="s">
        <v>728</v>
      </c>
      <c r="D163" t="s">
        <v>729</v>
      </c>
    </row>
    <row r="164" spans="1:4" x14ac:dyDescent="0.3">
      <c r="A164" t="s">
        <v>526</v>
      </c>
      <c r="B164" t="s">
        <v>527</v>
      </c>
      <c r="C164" t="s">
        <v>728</v>
      </c>
      <c r="D164" t="s">
        <v>730</v>
      </c>
    </row>
    <row r="165" spans="1:4" x14ac:dyDescent="0.3">
      <c r="A165" t="s">
        <v>528</v>
      </c>
      <c r="B165" t="s">
        <v>529</v>
      </c>
      <c r="C165" t="s">
        <v>728</v>
      </c>
      <c r="D165" t="s">
        <v>729</v>
      </c>
    </row>
    <row r="166" spans="1:4" x14ac:dyDescent="0.3">
      <c r="A166" t="s">
        <v>530</v>
      </c>
      <c r="B166" t="s">
        <v>531</v>
      </c>
      <c r="C166" t="s">
        <v>728</v>
      </c>
      <c r="D166" t="s">
        <v>748</v>
      </c>
    </row>
    <row r="167" spans="1:4" x14ac:dyDescent="0.3">
      <c r="A167" t="s">
        <v>532</v>
      </c>
      <c r="B167" t="s">
        <v>533</v>
      </c>
      <c r="C167" t="s">
        <v>728</v>
      </c>
      <c r="D167" t="s">
        <v>748</v>
      </c>
    </row>
    <row r="168" spans="1:4" x14ac:dyDescent="0.3">
      <c r="A168" t="s">
        <v>534</v>
      </c>
      <c r="B168" t="s">
        <v>535</v>
      </c>
      <c r="C168" t="s">
        <v>728</v>
      </c>
      <c r="D168" t="s">
        <v>806</v>
      </c>
    </row>
    <row r="169" spans="1:4" x14ac:dyDescent="0.3">
      <c r="A169" t="s">
        <v>536</v>
      </c>
      <c r="B169" t="s">
        <v>537</v>
      </c>
      <c r="C169" t="s">
        <v>728</v>
      </c>
      <c r="D169" t="s">
        <v>806</v>
      </c>
    </row>
    <row r="170" spans="1:4" x14ac:dyDescent="0.3">
      <c r="A170" t="s">
        <v>538</v>
      </c>
      <c r="B170" t="s">
        <v>539</v>
      </c>
      <c r="C170" t="s">
        <v>728</v>
      </c>
      <c r="D170" t="s">
        <v>807</v>
      </c>
    </row>
    <row r="171" spans="1:4" x14ac:dyDescent="0.3">
      <c r="A171" t="s">
        <v>540</v>
      </c>
      <c r="B171" t="s">
        <v>541</v>
      </c>
      <c r="C171" t="s">
        <v>728</v>
      </c>
      <c r="D171" t="s">
        <v>748</v>
      </c>
    </row>
    <row r="172" spans="1:4" x14ac:dyDescent="0.3">
      <c r="A172" t="s">
        <v>542</v>
      </c>
      <c r="B172" t="s">
        <v>543</v>
      </c>
      <c r="C172" t="s">
        <v>728</v>
      </c>
      <c r="D172" t="s">
        <v>806</v>
      </c>
    </row>
    <row r="173" spans="1:4" x14ac:dyDescent="0.3">
      <c r="A173" t="s">
        <v>544</v>
      </c>
      <c r="B173" t="s">
        <v>545</v>
      </c>
      <c r="C173" t="s">
        <v>728</v>
      </c>
      <c r="D173" t="s">
        <v>748</v>
      </c>
    </row>
    <row r="174" spans="1:4" x14ac:dyDescent="0.3">
      <c r="A174" t="s">
        <v>546</v>
      </c>
      <c r="B174" t="s">
        <v>547</v>
      </c>
      <c r="C174" t="s">
        <v>728</v>
      </c>
      <c r="D174" t="s">
        <v>729</v>
      </c>
    </row>
    <row r="175" spans="1:4" x14ac:dyDescent="0.3">
      <c r="A175" t="s">
        <v>548</v>
      </c>
      <c r="B175" t="s">
        <v>549</v>
      </c>
      <c r="C175" t="s">
        <v>728</v>
      </c>
      <c r="D175" t="s">
        <v>748</v>
      </c>
    </row>
    <row r="176" spans="1:4" x14ac:dyDescent="0.3">
      <c r="A176" t="s">
        <v>550</v>
      </c>
      <c r="B176" t="s">
        <v>551</v>
      </c>
      <c r="C176" t="s">
        <v>728</v>
      </c>
      <c r="D176" t="s">
        <v>806</v>
      </c>
    </row>
    <row r="177" spans="1:4" x14ac:dyDescent="0.3">
      <c r="A177" t="s">
        <v>554</v>
      </c>
      <c r="B177" t="s">
        <v>555</v>
      </c>
      <c r="C177" t="s">
        <v>734</v>
      </c>
      <c r="D177" t="s">
        <v>809</v>
      </c>
    </row>
    <row r="178" spans="1:4" x14ac:dyDescent="0.3">
      <c r="A178" t="s">
        <v>556</v>
      </c>
      <c r="B178" t="s">
        <v>557</v>
      </c>
      <c r="C178" t="s">
        <v>728</v>
      </c>
      <c r="D178" t="s">
        <v>729</v>
      </c>
    </row>
    <row r="179" spans="1:4" x14ac:dyDescent="0.3">
      <c r="A179" t="s">
        <v>558</v>
      </c>
      <c r="B179" t="s">
        <v>559</v>
      </c>
      <c r="C179" t="s">
        <v>728</v>
      </c>
      <c r="D179" t="s">
        <v>729</v>
      </c>
    </row>
    <row r="180" spans="1:4" x14ac:dyDescent="0.3">
      <c r="A180" t="s">
        <v>560</v>
      </c>
      <c r="B180" t="s">
        <v>561</v>
      </c>
      <c r="C180" t="s">
        <v>728</v>
      </c>
      <c r="D180" t="s">
        <v>729</v>
      </c>
    </row>
    <row r="181" spans="1:4" x14ac:dyDescent="0.3">
      <c r="A181" t="s">
        <v>562</v>
      </c>
      <c r="B181" t="s">
        <v>563</v>
      </c>
      <c r="C181" t="s">
        <v>728</v>
      </c>
      <c r="D181" t="s">
        <v>729</v>
      </c>
    </row>
    <row r="182" spans="1:4" x14ac:dyDescent="0.3">
      <c r="A182" t="s">
        <v>564</v>
      </c>
      <c r="B182" t="s">
        <v>565</v>
      </c>
      <c r="C182" t="s">
        <v>734</v>
      </c>
      <c r="D182" t="s">
        <v>810</v>
      </c>
    </row>
    <row r="183" spans="1:4" x14ac:dyDescent="0.3">
      <c r="A183" t="s">
        <v>566</v>
      </c>
      <c r="B183" t="s">
        <v>567</v>
      </c>
      <c r="C183" t="s">
        <v>728</v>
      </c>
      <c r="D183" t="s">
        <v>807</v>
      </c>
    </row>
    <row r="184" spans="1:4" x14ac:dyDescent="0.3">
      <c r="A184" t="s">
        <v>568</v>
      </c>
      <c r="B184" t="s">
        <v>569</v>
      </c>
      <c r="C184" t="s">
        <v>728</v>
      </c>
      <c r="D184" t="s">
        <v>748</v>
      </c>
    </row>
    <row r="185" spans="1:4" x14ac:dyDescent="0.3">
      <c r="A185" t="s">
        <v>570</v>
      </c>
      <c r="B185" t="s">
        <v>571</v>
      </c>
      <c r="C185" t="s">
        <v>728</v>
      </c>
      <c r="D185" t="s">
        <v>748</v>
      </c>
    </row>
    <row r="186" spans="1:4" x14ac:dyDescent="0.3">
      <c r="A186" t="s">
        <v>572</v>
      </c>
      <c r="B186" t="s">
        <v>573</v>
      </c>
      <c r="C186" t="s">
        <v>728</v>
      </c>
      <c r="D186" t="s">
        <v>748</v>
      </c>
    </row>
    <row r="187" spans="1:4" x14ac:dyDescent="0.3">
      <c r="A187" t="s">
        <v>574</v>
      </c>
      <c r="B187" t="s">
        <v>575</v>
      </c>
      <c r="C187" t="s">
        <v>728</v>
      </c>
      <c r="D187" t="s">
        <v>748</v>
      </c>
    </row>
    <row r="188" spans="1:4" x14ac:dyDescent="0.3">
      <c r="A188" t="s">
        <v>576</v>
      </c>
      <c r="B188" t="s">
        <v>577</v>
      </c>
      <c r="C188" t="s">
        <v>728</v>
      </c>
      <c r="D188" t="s">
        <v>729</v>
      </c>
    </row>
    <row r="189" spans="1:4" x14ac:dyDescent="0.3">
      <c r="A189" t="s">
        <v>578</v>
      </c>
      <c r="B189" t="s">
        <v>579</v>
      </c>
      <c r="C189" t="s">
        <v>728</v>
      </c>
      <c r="D189" t="s">
        <v>729</v>
      </c>
    </row>
    <row r="190" spans="1:4" x14ac:dyDescent="0.3">
      <c r="A190" t="s">
        <v>580</v>
      </c>
      <c r="B190" t="s">
        <v>581</v>
      </c>
      <c r="C190" t="s">
        <v>728</v>
      </c>
      <c r="D190" t="s">
        <v>729</v>
      </c>
    </row>
    <row r="191" spans="1:4" x14ac:dyDescent="0.3">
      <c r="A191" t="s">
        <v>582</v>
      </c>
      <c r="B191" t="s">
        <v>583</v>
      </c>
      <c r="C191" t="s">
        <v>728</v>
      </c>
      <c r="D191" t="s">
        <v>729</v>
      </c>
    </row>
    <row r="192" spans="1:4" x14ac:dyDescent="0.3">
      <c r="A192" t="s">
        <v>584</v>
      </c>
      <c r="B192" t="s">
        <v>585</v>
      </c>
      <c r="C192" t="s">
        <v>728</v>
      </c>
      <c r="D192" t="s">
        <v>748</v>
      </c>
    </row>
    <row r="193" spans="1:4" x14ac:dyDescent="0.3">
      <c r="A193" t="s">
        <v>586</v>
      </c>
      <c r="B193" t="s">
        <v>587</v>
      </c>
      <c r="C193" t="s">
        <v>728</v>
      </c>
      <c r="D193" t="s">
        <v>748</v>
      </c>
    </row>
    <row r="194" spans="1:4" x14ac:dyDescent="0.3">
      <c r="A194" t="s">
        <v>588</v>
      </c>
      <c r="B194" t="s">
        <v>589</v>
      </c>
      <c r="C194" t="s">
        <v>734</v>
      </c>
      <c r="D194" t="s">
        <v>812</v>
      </c>
    </row>
    <row r="195" spans="1:4" x14ac:dyDescent="0.3">
      <c r="A195" t="s">
        <v>590</v>
      </c>
      <c r="B195" t="s">
        <v>591</v>
      </c>
      <c r="C195" t="s">
        <v>728</v>
      </c>
      <c r="D195" t="s">
        <v>730</v>
      </c>
    </row>
    <row r="196" spans="1:4" x14ac:dyDescent="0.3">
      <c r="A196" t="s">
        <v>592</v>
      </c>
      <c r="B196" t="s">
        <v>593</v>
      </c>
      <c r="C196" t="s">
        <v>728</v>
      </c>
      <c r="D196" t="s">
        <v>730</v>
      </c>
    </row>
    <row r="197" spans="1:4" x14ac:dyDescent="0.3">
      <c r="A197" t="s">
        <v>594</v>
      </c>
      <c r="B197" t="s">
        <v>595</v>
      </c>
      <c r="C197" t="s">
        <v>728</v>
      </c>
      <c r="D197" t="s">
        <v>748</v>
      </c>
    </row>
    <row r="198" spans="1:4" x14ac:dyDescent="0.3">
      <c r="A198" t="s">
        <v>596</v>
      </c>
      <c r="B198" t="s">
        <v>597</v>
      </c>
      <c r="C198" t="s">
        <v>728</v>
      </c>
      <c r="D198" t="s">
        <v>748</v>
      </c>
    </row>
    <row r="199" spans="1:4" x14ac:dyDescent="0.3">
      <c r="A199" t="s">
        <v>598</v>
      </c>
      <c r="B199" t="s">
        <v>599</v>
      </c>
      <c r="C199" t="s">
        <v>728</v>
      </c>
      <c r="D199" t="s">
        <v>748</v>
      </c>
    </row>
    <row r="200" spans="1:4" x14ac:dyDescent="0.3">
      <c r="A200" t="s">
        <v>600</v>
      </c>
      <c r="B200" t="s">
        <v>601</v>
      </c>
      <c r="C200" t="s">
        <v>728</v>
      </c>
      <c r="D200" t="s">
        <v>748</v>
      </c>
    </row>
    <row r="201" spans="1:4" x14ac:dyDescent="0.3">
      <c r="A201" t="s">
        <v>602</v>
      </c>
      <c r="B201" t="s">
        <v>603</v>
      </c>
      <c r="C201" t="s">
        <v>728</v>
      </c>
      <c r="D201" t="s">
        <v>748</v>
      </c>
    </row>
    <row r="202" spans="1:4" x14ac:dyDescent="0.3">
      <c r="A202" t="s">
        <v>604</v>
      </c>
      <c r="B202" t="s">
        <v>605</v>
      </c>
      <c r="C202" t="s">
        <v>728</v>
      </c>
      <c r="D202" t="s">
        <v>748</v>
      </c>
    </row>
    <row r="203" spans="1:4" x14ac:dyDescent="0.3">
      <c r="A203" t="s">
        <v>606</v>
      </c>
      <c r="B203" t="s">
        <v>607</v>
      </c>
      <c r="C203" t="s">
        <v>728</v>
      </c>
      <c r="D203" t="s">
        <v>748</v>
      </c>
    </row>
    <row r="204" spans="1:4" x14ac:dyDescent="0.3">
      <c r="A204" t="s">
        <v>608</v>
      </c>
      <c r="B204" t="s">
        <v>609</v>
      </c>
      <c r="C204" t="s">
        <v>728</v>
      </c>
      <c r="D204" t="s">
        <v>730</v>
      </c>
    </row>
    <row r="205" spans="1:4" x14ac:dyDescent="0.3">
      <c r="A205" t="s">
        <v>610</v>
      </c>
      <c r="B205" t="s">
        <v>611</v>
      </c>
      <c r="C205" t="s">
        <v>728</v>
      </c>
      <c r="D205" t="s">
        <v>748</v>
      </c>
    </row>
    <row r="206" spans="1:4" x14ac:dyDescent="0.3">
      <c r="A206" t="s">
        <v>612</v>
      </c>
      <c r="B206" t="s">
        <v>613</v>
      </c>
      <c r="C206" t="s">
        <v>734</v>
      </c>
      <c r="D206" t="s">
        <v>777</v>
      </c>
    </row>
    <row r="207" spans="1:4" x14ac:dyDescent="0.3">
      <c r="A207" t="s">
        <v>614</v>
      </c>
      <c r="B207" t="s">
        <v>615</v>
      </c>
      <c r="C207" t="s">
        <v>728</v>
      </c>
      <c r="D207" t="s">
        <v>748</v>
      </c>
    </row>
    <row r="208" spans="1:4" x14ac:dyDescent="0.3">
      <c r="A208" t="s">
        <v>616</v>
      </c>
      <c r="B208" t="s">
        <v>617</v>
      </c>
      <c r="C208" t="s">
        <v>728</v>
      </c>
      <c r="D208" t="s">
        <v>729</v>
      </c>
    </row>
    <row r="209" spans="1:4" x14ac:dyDescent="0.3">
      <c r="A209" t="s">
        <v>618</v>
      </c>
      <c r="B209" t="s">
        <v>619</v>
      </c>
      <c r="C209" t="s">
        <v>728</v>
      </c>
      <c r="D209" t="s">
        <v>748</v>
      </c>
    </row>
    <row r="210" spans="1:4" x14ac:dyDescent="0.3">
      <c r="A210" t="s">
        <v>620</v>
      </c>
      <c r="B210" t="s">
        <v>621</v>
      </c>
      <c r="C210" t="s">
        <v>728</v>
      </c>
      <c r="D210" t="s">
        <v>748</v>
      </c>
    </row>
    <row r="211" spans="1:4" x14ac:dyDescent="0.3">
      <c r="A211" t="s">
        <v>622</v>
      </c>
      <c r="B211" t="s">
        <v>623</v>
      </c>
      <c r="C211" t="s">
        <v>728</v>
      </c>
      <c r="D211" t="s">
        <v>729</v>
      </c>
    </row>
    <row r="212" spans="1:4" x14ac:dyDescent="0.3">
      <c r="A212" t="s">
        <v>624</v>
      </c>
      <c r="B212" t="s">
        <v>625</v>
      </c>
      <c r="C212" t="s">
        <v>728</v>
      </c>
      <c r="D212" t="s">
        <v>729</v>
      </c>
    </row>
    <row r="213" spans="1:4" x14ac:dyDescent="0.3">
      <c r="A213" t="s">
        <v>626</v>
      </c>
      <c r="B213" t="s">
        <v>627</v>
      </c>
      <c r="C213" t="s">
        <v>728</v>
      </c>
      <c r="D213" t="s">
        <v>748</v>
      </c>
    </row>
    <row r="214" spans="1:4" x14ac:dyDescent="0.3">
      <c r="A214" t="s">
        <v>628</v>
      </c>
      <c r="B214" t="s">
        <v>629</v>
      </c>
      <c r="C214" t="s">
        <v>728</v>
      </c>
      <c r="D214" t="s">
        <v>729</v>
      </c>
    </row>
    <row r="215" spans="1:4" x14ac:dyDescent="0.3">
      <c r="A215" t="s">
        <v>630</v>
      </c>
      <c r="B215" t="s">
        <v>631</v>
      </c>
      <c r="C215" t="s">
        <v>728</v>
      </c>
      <c r="D215" t="s">
        <v>729</v>
      </c>
    </row>
    <row r="216" spans="1:4" x14ac:dyDescent="0.3">
      <c r="A216" t="s">
        <v>632</v>
      </c>
      <c r="B216" t="s">
        <v>633</v>
      </c>
      <c r="C216" t="s">
        <v>728</v>
      </c>
      <c r="D216" t="s">
        <v>748</v>
      </c>
    </row>
    <row r="217" spans="1:4" x14ac:dyDescent="0.3">
      <c r="A217" t="s">
        <v>634</v>
      </c>
      <c r="B217" t="s">
        <v>635</v>
      </c>
      <c r="C217" t="s">
        <v>734</v>
      </c>
      <c r="D217" t="s">
        <v>816</v>
      </c>
    </row>
    <row r="218" spans="1:4" x14ac:dyDescent="0.3">
      <c r="A218" t="s">
        <v>636</v>
      </c>
      <c r="B218" t="s">
        <v>637</v>
      </c>
      <c r="C218" t="s">
        <v>728</v>
      </c>
      <c r="D218" t="s">
        <v>729</v>
      </c>
    </row>
    <row r="219" spans="1:4" x14ac:dyDescent="0.3">
      <c r="A219" t="s">
        <v>638</v>
      </c>
      <c r="B219" t="s">
        <v>639</v>
      </c>
      <c r="C219" t="s">
        <v>728</v>
      </c>
      <c r="D219" t="s">
        <v>748</v>
      </c>
    </row>
    <row r="220" spans="1:4" x14ac:dyDescent="0.3">
      <c r="A220" t="s">
        <v>640</v>
      </c>
      <c r="B220" t="s">
        <v>641</v>
      </c>
      <c r="C220" t="s">
        <v>728</v>
      </c>
      <c r="D220" t="s">
        <v>729</v>
      </c>
    </row>
    <row r="221" spans="1:4" x14ac:dyDescent="0.3">
      <c r="A221" t="s">
        <v>642</v>
      </c>
      <c r="B221" t="s">
        <v>643</v>
      </c>
      <c r="C221" t="s">
        <v>728</v>
      </c>
      <c r="D221" t="s">
        <v>729</v>
      </c>
    </row>
    <row r="222" spans="1:4" x14ac:dyDescent="0.3">
      <c r="A222" t="s">
        <v>644</v>
      </c>
      <c r="B222" t="s">
        <v>645</v>
      </c>
      <c r="C222" t="s">
        <v>728</v>
      </c>
      <c r="D222" t="s">
        <v>748</v>
      </c>
    </row>
    <row r="223" spans="1:4" x14ac:dyDescent="0.3">
      <c r="A223" t="s">
        <v>646</v>
      </c>
      <c r="B223" t="s">
        <v>647</v>
      </c>
      <c r="C223" t="s">
        <v>728</v>
      </c>
      <c r="D223" t="s">
        <v>748</v>
      </c>
    </row>
    <row r="224" spans="1:4" x14ac:dyDescent="0.3">
      <c r="A224" t="s">
        <v>648</v>
      </c>
      <c r="B224" t="s">
        <v>649</v>
      </c>
      <c r="C224" t="s">
        <v>728</v>
      </c>
      <c r="D224" t="s">
        <v>748</v>
      </c>
    </row>
    <row r="225" spans="1:4" x14ac:dyDescent="0.3">
      <c r="A225" t="s">
        <v>650</v>
      </c>
      <c r="B225" t="s">
        <v>651</v>
      </c>
      <c r="C225" t="s">
        <v>728</v>
      </c>
      <c r="D225" t="s">
        <v>729</v>
      </c>
    </row>
    <row r="226" spans="1:4" x14ac:dyDescent="0.3">
      <c r="A226" t="s">
        <v>652</v>
      </c>
      <c r="B226" t="s">
        <v>653</v>
      </c>
      <c r="C226" t="s">
        <v>728</v>
      </c>
      <c r="D226" t="s">
        <v>729</v>
      </c>
    </row>
    <row r="227" spans="1:4" x14ac:dyDescent="0.3">
      <c r="A227" t="s">
        <v>654</v>
      </c>
      <c r="B227" t="s">
        <v>655</v>
      </c>
      <c r="C227" t="s">
        <v>728</v>
      </c>
      <c r="D227" t="s">
        <v>729</v>
      </c>
    </row>
    <row r="228" spans="1:4" x14ac:dyDescent="0.3">
      <c r="A228" t="s">
        <v>656</v>
      </c>
      <c r="B228" t="s">
        <v>657</v>
      </c>
      <c r="C228" t="s">
        <v>728</v>
      </c>
      <c r="D228" t="s">
        <v>748</v>
      </c>
    </row>
    <row r="229" spans="1:4" x14ac:dyDescent="0.3">
      <c r="A229" t="s">
        <v>658</v>
      </c>
      <c r="B229" t="s">
        <v>659</v>
      </c>
      <c r="C229" t="s">
        <v>728</v>
      </c>
      <c r="D229" t="s">
        <v>748</v>
      </c>
    </row>
    <row r="230" spans="1:4" x14ac:dyDescent="0.3">
      <c r="A230" t="s">
        <v>660</v>
      </c>
      <c r="B230" t="s">
        <v>661</v>
      </c>
      <c r="C230" t="s">
        <v>728</v>
      </c>
      <c r="D230" t="s">
        <v>729</v>
      </c>
    </row>
    <row r="231" spans="1:4" x14ac:dyDescent="0.3">
      <c r="A231" t="s">
        <v>662</v>
      </c>
      <c r="B231" t="s">
        <v>663</v>
      </c>
      <c r="C231" t="s">
        <v>728</v>
      </c>
      <c r="D231" t="s">
        <v>806</v>
      </c>
    </row>
    <row r="232" spans="1:4" x14ac:dyDescent="0.3">
      <c r="A232" t="s">
        <v>664</v>
      </c>
      <c r="B232" t="s">
        <v>665</v>
      </c>
      <c r="C232" t="s">
        <v>728</v>
      </c>
      <c r="D232" t="s">
        <v>748</v>
      </c>
    </row>
    <row r="233" spans="1:4" x14ac:dyDescent="0.3">
      <c r="A233" t="s">
        <v>668</v>
      </c>
      <c r="B233" t="s">
        <v>669</v>
      </c>
      <c r="C233" t="s">
        <v>728</v>
      </c>
      <c r="D233" t="s">
        <v>729</v>
      </c>
    </row>
    <row r="234" spans="1:4" x14ac:dyDescent="0.3">
      <c r="A234" t="s">
        <v>670</v>
      </c>
      <c r="B234" t="s">
        <v>671</v>
      </c>
      <c r="C234" t="s">
        <v>728</v>
      </c>
      <c r="D234" t="s">
        <v>748</v>
      </c>
    </row>
    <row r="235" spans="1:4" x14ac:dyDescent="0.3">
      <c r="A235" t="s">
        <v>672</v>
      </c>
      <c r="B235" t="s">
        <v>673</v>
      </c>
      <c r="C235" t="s">
        <v>728</v>
      </c>
      <c r="D235" t="s">
        <v>729</v>
      </c>
    </row>
    <row r="236" spans="1:4" x14ac:dyDescent="0.3">
      <c r="A236" t="s">
        <v>674</v>
      </c>
      <c r="B236" t="s">
        <v>675</v>
      </c>
      <c r="C236" t="s">
        <v>728</v>
      </c>
      <c r="D236" t="s">
        <v>729</v>
      </c>
    </row>
    <row r="237" spans="1:4" x14ac:dyDescent="0.3">
      <c r="A237" t="s">
        <v>676</v>
      </c>
      <c r="B237" t="s">
        <v>677</v>
      </c>
      <c r="C237" t="s">
        <v>728</v>
      </c>
      <c r="D237" t="s">
        <v>729</v>
      </c>
    </row>
    <row r="238" spans="1:4" x14ac:dyDescent="0.3">
      <c r="A238" t="s">
        <v>678</v>
      </c>
      <c r="B238" t="s">
        <v>679</v>
      </c>
      <c r="C238" t="s">
        <v>728</v>
      </c>
      <c r="D238" t="s">
        <v>730</v>
      </c>
    </row>
    <row r="239" spans="1:4" x14ac:dyDescent="0.3">
      <c r="A239" t="s">
        <v>680</v>
      </c>
      <c r="B239" t="s">
        <v>681</v>
      </c>
      <c r="C239" t="s">
        <v>728</v>
      </c>
      <c r="D239" t="s">
        <v>729</v>
      </c>
    </row>
    <row r="240" spans="1:4" x14ac:dyDescent="0.3">
      <c r="A240" t="s">
        <v>700</v>
      </c>
      <c r="B240" t="s">
        <v>701</v>
      </c>
      <c r="C240" t="s">
        <v>728</v>
      </c>
      <c r="D240" t="s">
        <v>792</v>
      </c>
    </row>
    <row r="241" spans="1:4" x14ac:dyDescent="0.3">
      <c r="A241" t="s">
        <v>716</v>
      </c>
      <c r="B241" t="s">
        <v>717</v>
      </c>
      <c r="C241" t="s">
        <v>728</v>
      </c>
      <c r="D241" t="s">
        <v>729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53"/>
  <sheetViews>
    <sheetView workbookViewId="0">
      <pane ySplit="1" topLeftCell="A2" activePane="bottomLeft" state="frozen"/>
      <selection pane="bottomLeft" activeCell="C21" sqref="C21"/>
    </sheetView>
  </sheetViews>
  <sheetFormatPr defaultRowHeight="16.5" x14ac:dyDescent="0.3"/>
  <cols>
    <col min="1" max="1" width="24" customWidth="1"/>
    <col min="2" max="2" width="18" customWidth="1"/>
    <col min="3" max="3" width="55" customWidth="1"/>
    <col min="4" max="4" width="14" customWidth="1"/>
    <col min="5" max="5" width="10" customWidth="1"/>
    <col min="6" max="7" width="12" customWidth="1"/>
    <col min="8" max="8" width="34" customWidth="1"/>
    <col min="10" max="10" width="90" customWidth="1"/>
  </cols>
  <sheetData>
    <row r="1" spans="1:10" x14ac:dyDescent="0.3">
      <c r="A1" s="3" t="s">
        <v>822</v>
      </c>
      <c r="B1" s="3" t="s">
        <v>823</v>
      </c>
      <c r="C1" s="3" t="s">
        <v>824</v>
      </c>
      <c r="D1" s="3" t="s">
        <v>2</v>
      </c>
      <c r="E1" s="3" t="s">
        <v>3</v>
      </c>
      <c r="F1" s="3" t="s">
        <v>4</v>
      </c>
      <c r="G1" s="3" t="s">
        <v>825</v>
      </c>
      <c r="H1" s="3" t="s">
        <v>726</v>
      </c>
      <c r="J1" s="4" t="s">
        <v>826</v>
      </c>
    </row>
    <row r="2" spans="1:10" x14ac:dyDescent="0.3">
      <c r="B2" t="s">
        <v>716</v>
      </c>
      <c r="C2" t="s">
        <v>717</v>
      </c>
      <c r="D2" t="s">
        <v>507</v>
      </c>
      <c r="E2" t="s">
        <v>101</v>
      </c>
      <c r="F2">
        <v>12000</v>
      </c>
      <c r="G2" t="s">
        <v>827</v>
      </c>
      <c r="J2" t="s">
        <v>828</v>
      </c>
    </row>
    <row r="3" spans="1:10" x14ac:dyDescent="0.3">
      <c r="B3" t="s">
        <v>714</v>
      </c>
      <c r="C3" t="s">
        <v>715</v>
      </c>
      <c r="D3" t="s">
        <v>507</v>
      </c>
      <c r="E3" t="s">
        <v>10</v>
      </c>
      <c r="F3">
        <v>38000</v>
      </c>
      <c r="G3" t="s">
        <v>827</v>
      </c>
      <c r="J3" t="s">
        <v>829</v>
      </c>
    </row>
    <row r="4" spans="1:10" x14ac:dyDescent="0.3">
      <c r="B4" t="s">
        <v>710</v>
      </c>
      <c r="C4" t="s">
        <v>711</v>
      </c>
      <c r="D4" t="s">
        <v>507</v>
      </c>
      <c r="E4" t="s">
        <v>10</v>
      </c>
      <c r="F4">
        <v>32000</v>
      </c>
      <c r="G4" t="s">
        <v>827</v>
      </c>
      <c r="J4" t="s">
        <v>830</v>
      </c>
    </row>
    <row r="5" spans="1:10" x14ac:dyDescent="0.3">
      <c r="B5" t="s">
        <v>708</v>
      </c>
      <c r="C5" t="s">
        <v>709</v>
      </c>
      <c r="D5" t="s">
        <v>507</v>
      </c>
      <c r="E5" t="s">
        <v>10</v>
      </c>
      <c r="F5">
        <v>54000</v>
      </c>
      <c r="G5" t="s">
        <v>827</v>
      </c>
      <c r="J5" t="s">
        <v>831</v>
      </c>
    </row>
    <row r="6" spans="1:10" x14ac:dyDescent="0.3">
      <c r="B6" t="s">
        <v>712</v>
      </c>
      <c r="C6" t="s">
        <v>713</v>
      </c>
      <c r="D6" t="s">
        <v>507</v>
      </c>
      <c r="E6" t="s">
        <v>10</v>
      </c>
      <c r="F6">
        <v>36000</v>
      </c>
      <c r="G6" t="s">
        <v>827</v>
      </c>
      <c r="J6" t="s">
        <v>832</v>
      </c>
    </row>
    <row r="7" spans="1:10" x14ac:dyDescent="0.3">
      <c r="B7" t="s">
        <v>706</v>
      </c>
      <c r="C7" t="s">
        <v>707</v>
      </c>
      <c r="D7" t="s">
        <v>507</v>
      </c>
      <c r="E7" t="s">
        <v>10</v>
      </c>
      <c r="F7">
        <v>28000</v>
      </c>
      <c r="G7" t="s">
        <v>827</v>
      </c>
    </row>
    <row r="8" spans="1:10" x14ac:dyDescent="0.3">
      <c r="B8" t="s">
        <v>702</v>
      </c>
      <c r="C8" t="s">
        <v>703</v>
      </c>
      <c r="D8" t="s">
        <v>507</v>
      </c>
      <c r="E8" t="s">
        <v>10</v>
      </c>
      <c r="F8">
        <v>43000</v>
      </c>
      <c r="G8" t="s">
        <v>827</v>
      </c>
    </row>
    <row r="9" spans="1:10" x14ac:dyDescent="0.3">
      <c r="B9" t="s">
        <v>704</v>
      </c>
      <c r="C9" t="s">
        <v>705</v>
      </c>
      <c r="D9" t="s">
        <v>507</v>
      </c>
      <c r="E9" t="s">
        <v>10</v>
      </c>
      <c r="F9">
        <v>29000</v>
      </c>
      <c r="G9" t="s">
        <v>827</v>
      </c>
    </row>
    <row r="10" spans="1:10" x14ac:dyDescent="0.3">
      <c r="B10" t="s">
        <v>700</v>
      </c>
      <c r="C10" t="s">
        <v>701</v>
      </c>
      <c r="D10" t="s">
        <v>507</v>
      </c>
      <c r="E10" t="s">
        <v>101</v>
      </c>
      <c r="F10">
        <v>13000</v>
      </c>
      <c r="G10" t="s">
        <v>827</v>
      </c>
    </row>
    <row r="11" spans="1:10" x14ac:dyDescent="0.3">
      <c r="B11" t="s">
        <v>696</v>
      </c>
      <c r="C11" t="s">
        <v>697</v>
      </c>
      <c r="D11" t="s">
        <v>507</v>
      </c>
      <c r="E11" t="s">
        <v>10</v>
      </c>
      <c r="F11">
        <v>35000</v>
      </c>
      <c r="G11" t="s">
        <v>827</v>
      </c>
    </row>
    <row r="12" spans="1:10" x14ac:dyDescent="0.3">
      <c r="B12" t="s">
        <v>698</v>
      </c>
      <c r="C12" t="s">
        <v>699</v>
      </c>
      <c r="D12" t="s">
        <v>507</v>
      </c>
      <c r="E12" t="s">
        <v>10</v>
      </c>
      <c r="F12">
        <v>28000</v>
      </c>
      <c r="G12" t="s">
        <v>827</v>
      </c>
    </row>
    <row r="13" spans="1:10" x14ac:dyDescent="0.3">
      <c r="B13" t="s">
        <v>694</v>
      </c>
      <c r="C13" t="s">
        <v>695</v>
      </c>
      <c r="D13" t="s">
        <v>507</v>
      </c>
      <c r="E13" t="s">
        <v>10</v>
      </c>
      <c r="F13">
        <v>38000</v>
      </c>
      <c r="G13" t="s">
        <v>827</v>
      </c>
    </row>
    <row r="14" spans="1:10" x14ac:dyDescent="0.3">
      <c r="B14" t="s">
        <v>692</v>
      </c>
      <c r="C14" t="s">
        <v>693</v>
      </c>
      <c r="D14" t="s">
        <v>507</v>
      </c>
      <c r="E14" t="s">
        <v>101</v>
      </c>
      <c r="F14">
        <v>9000</v>
      </c>
      <c r="G14" t="s">
        <v>827</v>
      </c>
    </row>
    <row r="15" spans="1:10" x14ac:dyDescent="0.3">
      <c r="B15" t="s">
        <v>690</v>
      </c>
      <c r="C15" t="s">
        <v>691</v>
      </c>
      <c r="D15" t="s">
        <v>507</v>
      </c>
      <c r="E15" t="s">
        <v>10</v>
      </c>
      <c r="F15">
        <v>25000</v>
      </c>
      <c r="G15" t="s">
        <v>827</v>
      </c>
    </row>
    <row r="16" spans="1:10" x14ac:dyDescent="0.3">
      <c r="B16" t="s">
        <v>688</v>
      </c>
      <c r="C16" t="s">
        <v>689</v>
      </c>
      <c r="D16" t="s">
        <v>507</v>
      </c>
      <c r="E16" t="s">
        <v>10</v>
      </c>
      <c r="F16">
        <v>32000</v>
      </c>
      <c r="G16" t="s">
        <v>827</v>
      </c>
    </row>
    <row r="17" spans="2:7" x14ac:dyDescent="0.3">
      <c r="B17" t="s">
        <v>684</v>
      </c>
      <c r="C17" t="s">
        <v>685</v>
      </c>
      <c r="D17" t="s">
        <v>507</v>
      </c>
      <c r="E17" t="s">
        <v>10</v>
      </c>
      <c r="F17">
        <v>50000</v>
      </c>
      <c r="G17" t="s">
        <v>827</v>
      </c>
    </row>
    <row r="18" spans="2:7" x14ac:dyDescent="0.3">
      <c r="B18" t="s">
        <v>682</v>
      </c>
      <c r="C18" t="s">
        <v>683</v>
      </c>
      <c r="D18" t="s">
        <v>507</v>
      </c>
      <c r="E18" t="s">
        <v>10</v>
      </c>
      <c r="F18">
        <v>35000</v>
      </c>
      <c r="G18" t="s">
        <v>827</v>
      </c>
    </row>
    <row r="19" spans="2:7" x14ac:dyDescent="0.3">
      <c r="B19" t="s">
        <v>686</v>
      </c>
      <c r="C19" t="s">
        <v>687</v>
      </c>
      <c r="D19" t="s">
        <v>507</v>
      </c>
      <c r="E19" t="s">
        <v>10</v>
      </c>
      <c r="F19">
        <v>62000</v>
      </c>
      <c r="G19" t="s">
        <v>827</v>
      </c>
    </row>
    <row r="20" spans="2:7" x14ac:dyDescent="0.3">
      <c r="B20" t="s">
        <v>680</v>
      </c>
      <c r="C20" t="s">
        <v>681</v>
      </c>
      <c r="D20" t="s">
        <v>507</v>
      </c>
      <c r="E20" t="s">
        <v>101</v>
      </c>
      <c r="F20">
        <f>28000*2</f>
        <v>56000</v>
      </c>
      <c r="G20" t="s">
        <v>827</v>
      </c>
    </row>
    <row r="21" spans="2:7" x14ac:dyDescent="0.3">
      <c r="B21" t="s">
        <v>678</v>
      </c>
      <c r="C21" t="s">
        <v>679</v>
      </c>
      <c r="D21" t="s">
        <v>507</v>
      </c>
      <c r="E21" t="s">
        <v>101</v>
      </c>
      <c r="F21">
        <f>36000+62000</f>
        <v>98000</v>
      </c>
      <c r="G21" t="s">
        <v>827</v>
      </c>
    </row>
    <row r="22" spans="2:7" x14ac:dyDescent="0.3">
      <c r="B22" t="s">
        <v>676</v>
      </c>
      <c r="C22" t="s">
        <v>677</v>
      </c>
      <c r="D22" t="s">
        <v>507</v>
      </c>
      <c r="E22" t="s">
        <v>101</v>
      </c>
      <c r="F22">
        <f>62000+29000+36000+28000</f>
        <v>155000</v>
      </c>
      <c r="G22" t="s">
        <v>827</v>
      </c>
    </row>
    <row r="23" spans="2:7" x14ac:dyDescent="0.3">
      <c r="B23" t="s">
        <v>674</v>
      </c>
      <c r="C23" t="s">
        <v>675</v>
      </c>
      <c r="D23" t="s">
        <v>507</v>
      </c>
      <c r="E23" t="s">
        <v>101</v>
      </c>
      <c r="F23">
        <f>50000*2</f>
        <v>100000</v>
      </c>
      <c r="G23" t="s">
        <v>827</v>
      </c>
    </row>
    <row r="24" spans="2:7" x14ac:dyDescent="0.3">
      <c r="B24" t="s">
        <v>672</v>
      </c>
      <c r="C24" t="s">
        <v>673</v>
      </c>
      <c r="D24" t="s">
        <v>507</v>
      </c>
      <c r="E24" t="s">
        <v>101</v>
      </c>
      <c r="F24">
        <f>50000*4</f>
        <v>200000</v>
      </c>
      <c r="G24" t="s">
        <v>827</v>
      </c>
    </row>
    <row r="25" spans="2:7" x14ac:dyDescent="0.3">
      <c r="B25" t="s">
        <v>670</v>
      </c>
      <c r="C25" t="s">
        <v>671</v>
      </c>
      <c r="D25" t="s">
        <v>507</v>
      </c>
      <c r="E25" t="s">
        <v>101</v>
      </c>
      <c r="F25">
        <f>50000*3+32000</f>
        <v>182000</v>
      </c>
      <c r="G25" t="s">
        <v>827</v>
      </c>
    </row>
    <row r="26" spans="2:7" x14ac:dyDescent="0.3">
      <c r="B26" t="s">
        <v>668</v>
      </c>
      <c r="C26" t="s">
        <v>669</v>
      </c>
      <c r="D26" t="s">
        <v>507</v>
      </c>
      <c r="E26" t="s">
        <v>101</v>
      </c>
      <c r="F26">
        <f>35000*2</f>
        <v>70000</v>
      </c>
      <c r="G26" t="s">
        <v>827</v>
      </c>
    </row>
    <row r="27" spans="2:7" x14ac:dyDescent="0.3">
      <c r="B27" t="s">
        <v>666</v>
      </c>
      <c r="C27" t="s">
        <v>667</v>
      </c>
      <c r="D27" t="s">
        <v>507</v>
      </c>
      <c r="E27" t="s">
        <v>10</v>
      </c>
      <c r="F27">
        <v>38000</v>
      </c>
      <c r="G27" t="s">
        <v>827</v>
      </c>
    </row>
    <row r="28" spans="2:7" x14ac:dyDescent="0.3">
      <c r="B28" t="s">
        <v>664</v>
      </c>
      <c r="C28" t="s">
        <v>665</v>
      </c>
      <c r="D28" t="s">
        <v>507</v>
      </c>
      <c r="E28" t="s">
        <v>101</v>
      </c>
      <c r="F28">
        <f>38000+54000</f>
        <v>92000</v>
      </c>
      <c r="G28" t="s">
        <v>827</v>
      </c>
    </row>
    <row r="29" spans="2:7" x14ac:dyDescent="0.3">
      <c r="B29" t="s">
        <v>662</v>
      </c>
      <c r="C29" t="s">
        <v>663</v>
      </c>
      <c r="D29" t="s">
        <v>507</v>
      </c>
      <c r="E29" t="s">
        <v>101</v>
      </c>
      <c r="F29">
        <f>38000+35000+28000</f>
        <v>101000</v>
      </c>
      <c r="G29" t="s">
        <v>827</v>
      </c>
    </row>
    <row r="30" spans="2:7" x14ac:dyDescent="0.3">
      <c r="B30" t="s">
        <v>660</v>
      </c>
      <c r="C30" t="s">
        <v>661</v>
      </c>
      <c r="D30" t="s">
        <v>507</v>
      </c>
      <c r="E30" t="s">
        <v>101</v>
      </c>
      <c r="F30">
        <f>38000+28000</f>
        <v>66000</v>
      </c>
      <c r="G30" t="s">
        <v>827</v>
      </c>
    </row>
    <row r="31" spans="2:7" x14ac:dyDescent="0.3">
      <c r="B31" t="s">
        <v>658</v>
      </c>
      <c r="C31" t="s">
        <v>659</v>
      </c>
      <c r="D31" t="s">
        <v>507</v>
      </c>
      <c r="E31" t="s">
        <v>101</v>
      </c>
      <c r="F31">
        <f>38000+35000*2</f>
        <v>108000</v>
      </c>
      <c r="G31" t="s">
        <v>827</v>
      </c>
    </row>
    <row r="32" spans="2:7" x14ac:dyDescent="0.3">
      <c r="B32" t="s">
        <v>656</v>
      </c>
      <c r="C32" t="s">
        <v>657</v>
      </c>
      <c r="D32" t="s">
        <v>507</v>
      </c>
      <c r="E32" t="s">
        <v>101</v>
      </c>
      <c r="F32">
        <f>38000+50000</f>
        <v>88000</v>
      </c>
      <c r="G32" t="s">
        <v>827</v>
      </c>
    </row>
    <row r="33" spans="2:7" x14ac:dyDescent="0.3">
      <c r="B33" t="s">
        <v>654</v>
      </c>
      <c r="C33" t="s">
        <v>655</v>
      </c>
      <c r="D33" t="s">
        <v>507</v>
      </c>
      <c r="E33" t="s">
        <v>101</v>
      </c>
      <c r="F33">
        <f>38000*2</f>
        <v>76000</v>
      </c>
      <c r="G33" t="s">
        <v>827</v>
      </c>
    </row>
    <row r="34" spans="2:7" x14ac:dyDescent="0.3">
      <c r="B34" t="s">
        <v>652</v>
      </c>
      <c r="C34" t="s">
        <v>653</v>
      </c>
      <c r="D34" t="s">
        <v>507</v>
      </c>
      <c r="E34" t="s">
        <v>101</v>
      </c>
      <c r="F34">
        <f>38000*3</f>
        <v>114000</v>
      </c>
      <c r="G34" t="s">
        <v>827</v>
      </c>
    </row>
    <row r="35" spans="2:7" x14ac:dyDescent="0.3">
      <c r="B35" t="s">
        <v>650</v>
      </c>
      <c r="C35" t="s">
        <v>651</v>
      </c>
      <c r="D35" t="s">
        <v>507</v>
      </c>
      <c r="E35" t="s">
        <v>101</v>
      </c>
      <c r="F35">
        <f>38000*5</f>
        <v>190000</v>
      </c>
      <c r="G35" t="s">
        <v>827</v>
      </c>
    </row>
    <row r="36" spans="2:7" x14ac:dyDescent="0.3">
      <c r="B36" t="s">
        <v>648</v>
      </c>
      <c r="C36" t="s">
        <v>649</v>
      </c>
      <c r="D36" t="s">
        <v>507</v>
      </c>
      <c r="E36" t="s">
        <v>101</v>
      </c>
      <c r="F36">
        <f>32000+35000</f>
        <v>67000</v>
      </c>
      <c r="G36" t="s">
        <v>827</v>
      </c>
    </row>
    <row r="37" spans="2:7" x14ac:dyDescent="0.3">
      <c r="B37" t="s">
        <v>646</v>
      </c>
      <c r="C37" t="s">
        <v>647</v>
      </c>
      <c r="D37" t="s">
        <v>507</v>
      </c>
      <c r="E37" t="s">
        <v>101</v>
      </c>
      <c r="F37">
        <f>32000+38000</f>
        <v>70000</v>
      </c>
      <c r="G37" t="s">
        <v>827</v>
      </c>
    </row>
    <row r="38" spans="2:7" x14ac:dyDescent="0.3">
      <c r="B38" t="s">
        <v>644</v>
      </c>
      <c r="C38" t="s">
        <v>645</v>
      </c>
      <c r="D38" t="s">
        <v>507</v>
      </c>
      <c r="E38" t="s">
        <v>101</v>
      </c>
      <c r="F38">
        <f>32000+50000</f>
        <v>82000</v>
      </c>
      <c r="G38" t="s">
        <v>827</v>
      </c>
    </row>
    <row r="39" spans="2:7" x14ac:dyDescent="0.3">
      <c r="B39" t="s">
        <v>642</v>
      </c>
      <c r="C39" t="s">
        <v>643</v>
      </c>
      <c r="D39" t="s">
        <v>507</v>
      </c>
      <c r="E39" t="s">
        <v>101</v>
      </c>
      <c r="F39">
        <f>32000*2</f>
        <v>64000</v>
      </c>
      <c r="G39" t="s">
        <v>827</v>
      </c>
    </row>
    <row r="40" spans="2:7" x14ac:dyDescent="0.3">
      <c r="B40" t="s">
        <v>640</v>
      </c>
      <c r="C40" t="s">
        <v>641</v>
      </c>
      <c r="D40" t="s">
        <v>507</v>
      </c>
      <c r="E40" t="s">
        <v>101</v>
      </c>
      <c r="F40">
        <f>32000*3</f>
        <v>96000</v>
      </c>
      <c r="G40" t="s">
        <v>827</v>
      </c>
    </row>
    <row r="41" spans="2:7" x14ac:dyDescent="0.3">
      <c r="B41" t="s">
        <v>638</v>
      </c>
      <c r="C41" t="s">
        <v>639</v>
      </c>
      <c r="D41" t="s">
        <v>507</v>
      </c>
      <c r="E41" t="s">
        <v>101</v>
      </c>
      <c r="F41">
        <f>32000*4+35000</f>
        <v>163000</v>
      </c>
      <c r="G41" t="s">
        <v>827</v>
      </c>
    </row>
    <row r="42" spans="2:7" x14ac:dyDescent="0.3">
      <c r="B42" t="s">
        <v>636</v>
      </c>
      <c r="C42" t="s">
        <v>637</v>
      </c>
      <c r="D42" t="s">
        <v>507</v>
      </c>
      <c r="E42" t="s">
        <v>101</v>
      </c>
      <c r="F42">
        <f>36000*2</f>
        <v>72000</v>
      </c>
      <c r="G42" t="s">
        <v>827</v>
      </c>
    </row>
    <row r="43" spans="2:7" x14ac:dyDescent="0.3">
      <c r="B43" t="s">
        <v>634</v>
      </c>
      <c r="C43" t="s">
        <v>635</v>
      </c>
      <c r="D43" t="s">
        <v>507</v>
      </c>
      <c r="E43" t="s">
        <v>101</v>
      </c>
      <c r="F43">
        <f>32000+54000+35000+50000</f>
        <v>171000</v>
      </c>
      <c r="G43" t="s">
        <v>827</v>
      </c>
    </row>
    <row r="44" spans="2:7" x14ac:dyDescent="0.3">
      <c r="B44" t="s">
        <v>632</v>
      </c>
      <c r="C44" t="s">
        <v>633</v>
      </c>
      <c r="D44" t="s">
        <v>507</v>
      </c>
      <c r="E44" t="s">
        <v>101</v>
      </c>
      <c r="F44">
        <f>54000+32000</f>
        <v>86000</v>
      </c>
      <c r="G44" t="s">
        <v>827</v>
      </c>
    </row>
    <row r="45" spans="2:7" x14ac:dyDescent="0.3">
      <c r="B45" t="s">
        <v>630</v>
      </c>
      <c r="C45" t="s">
        <v>631</v>
      </c>
      <c r="D45" t="s">
        <v>507</v>
      </c>
      <c r="E45" t="s">
        <v>101</v>
      </c>
      <c r="F45">
        <f>54000*2</f>
        <v>108000</v>
      </c>
      <c r="G45" t="s">
        <v>827</v>
      </c>
    </row>
    <row r="46" spans="2:7" x14ac:dyDescent="0.3">
      <c r="B46" t="s">
        <v>628</v>
      </c>
      <c r="C46" t="s">
        <v>629</v>
      </c>
      <c r="D46" t="s">
        <v>507</v>
      </c>
      <c r="E46" t="s">
        <v>101</v>
      </c>
      <c r="F46">
        <f>54000*3</f>
        <v>162000</v>
      </c>
      <c r="G46" t="s">
        <v>827</v>
      </c>
    </row>
    <row r="47" spans="2:7" x14ac:dyDescent="0.3">
      <c r="B47" t="s">
        <v>626</v>
      </c>
      <c r="C47" t="s">
        <v>627</v>
      </c>
      <c r="D47" t="s">
        <v>507</v>
      </c>
      <c r="E47" t="s">
        <v>101</v>
      </c>
      <c r="F47">
        <f>54000+50000</f>
        <v>104000</v>
      </c>
      <c r="G47" t="s">
        <v>827</v>
      </c>
    </row>
    <row r="48" spans="2:7" x14ac:dyDescent="0.3">
      <c r="B48" t="s">
        <v>624</v>
      </c>
      <c r="C48" t="s">
        <v>625</v>
      </c>
      <c r="D48" t="s">
        <v>507</v>
      </c>
      <c r="E48" t="s">
        <v>101</v>
      </c>
      <c r="F48">
        <f>36000*5</f>
        <v>180000</v>
      </c>
      <c r="G48" t="s">
        <v>827</v>
      </c>
    </row>
    <row r="49" spans="2:7" x14ac:dyDescent="0.3">
      <c r="B49" t="s">
        <v>622</v>
      </c>
      <c r="C49" t="s">
        <v>623</v>
      </c>
      <c r="D49" t="s">
        <v>507</v>
      </c>
      <c r="E49" t="s">
        <v>101</v>
      </c>
      <c r="F49">
        <v>21500</v>
      </c>
      <c r="G49" t="s">
        <v>827</v>
      </c>
    </row>
    <row r="50" spans="2:7" x14ac:dyDescent="0.3">
      <c r="B50" t="s">
        <v>620</v>
      </c>
      <c r="C50" t="s">
        <v>621</v>
      </c>
      <c r="D50" t="s">
        <v>507</v>
      </c>
      <c r="E50" t="s">
        <v>101</v>
      </c>
      <c r="F50">
        <f>35000+38000</f>
        <v>73000</v>
      </c>
      <c r="G50" t="s">
        <v>827</v>
      </c>
    </row>
    <row r="51" spans="2:7" x14ac:dyDescent="0.3">
      <c r="B51" t="s">
        <v>618</v>
      </c>
      <c r="C51" t="s">
        <v>619</v>
      </c>
      <c r="D51" t="s">
        <v>507</v>
      </c>
      <c r="E51" t="s">
        <v>101</v>
      </c>
      <c r="F51">
        <f>35000+50000</f>
        <v>85000</v>
      </c>
      <c r="G51" t="s">
        <v>827</v>
      </c>
    </row>
    <row r="52" spans="2:7" x14ac:dyDescent="0.3">
      <c r="B52" t="s">
        <v>616</v>
      </c>
      <c r="C52" t="s">
        <v>617</v>
      </c>
      <c r="D52" t="s">
        <v>507</v>
      </c>
      <c r="E52" t="s">
        <v>101</v>
      </c>
      <c r="F52">
        <f>35000*2</f>
        <v>70000</v>
      </c>
      <c r="G52" t="s">
        <v>827</v>
      </c>
    </row>
    <row r="53" spans="2:7" x14ac:dyDescent="0.3">
      <c r="B53" t="s">
        <v>614</v>
      </c>
      <c r="C53" t="s">
        <v>615</v>
      </c>
      <c r="D53" t="s">
        <v>507</v>
      </c>
      <c r="E53" t="s">
        <v>101</v>
      </c>
      <c r="F53">
        <f>35000*2+54000*2</f>
        <v>178000</v>
      </c>
      <c r="G53" t="s">
        <v>827</v>
      </c>
    </row>
    <row r="54" spans="2:7" x14ac:dyDescent="0.3">
      <c r="B54" t="s">
        <v>612</v>
      </c>
      <c r="C54" t="s">
        <v>613</v>
      </c>
      <c r="D54" t="s">
        <v>507</v>
      </c>
      <c r="E54" t="s">
        <v>101</v>
      </c>
      <c r="F54">
        <f>35000*4+54000</f>
        <v>194000</v>
      </c>
      <c r="G54" t="s">
        <v>827</v>
      </c>
    </row>
    <row r="55" spans="2:7" x14ac:dyDescent="0.3">
      <c r="B55" t="s">
        <v>610</v>
      </c>
      <c r="C55" t="s">
        <v>611</v>
      </c>
      <c r="D55" t="s">
        <v>507</v>
      </c>
      <c r="E55" t="s">
        <v>101</v>
      </c>
      <c r="F55">
        <f>35000+54000</f>
        <v>89000</v>
      </c>
      <c r="G55" t="s">
        <v>827</v>
      </c>
    </row>
    <row r="56" spans="2:7" x14ac:dyDescent="0.3">
      <c r="B56" t="s">
        <v>608</v>
      </c>
      <c r="C56" t="s">
        <v>609</v>
      </c>
      <c r="D56" t="s">
        <v>507</v>
      </c>
      <c r="E56" t="s">
        <v>101</v>
      </c>
      <c r="F56">
        <f>28000+36000</f>
        <v>64000</v>
      </c>
      <c r="G56" t="s">
        <v>827</v>
      </c>
    </row>
    <row r="57" spans="2:7" x14ac:dyDescent="0.3">
      <c r="B57" t="s">
        <v>606</v>
      </c>
      <c r="C57" t="s">
        <v>607</v>
      </c>
      <c r="D57" t="s">
        <v>507</v>
      </c>
      <c r="E57" t="s">
        <v>101</v>
      </c>
      <c r="F57">
        <f>28000+32000</f>
        <v>60000</v>
      </c>
      <c r="G57" t="s">
        <v>827</v>
      </c>
    </row>
    <row r="58" spans="2:7" x14ac:dyDescent="0.3">
      <c r="B58" t="s">
        <v>604</v>
      </c>
      <c r="C58" t="s">
        <v>605</v>
      </c>
      <c r="D58" t="s">
        <v>507</v>
      </c>
      <c r="E58" t="s">
        <v>101</v>
      </c>
      <c r="F58">
        <f>28000+54000</f>
        <v>82000</v>
      </c>
      <c r="G58" t="s">
        <v>827</v>
      </c>
    </row>
    <row r="59" spans="2:7" x14ac:dyDescent="0.3">
      <c r="B59" t="s">
        <v>602</v>
      </c>
      <c r="C59" t="s">
        <v>603</v>
      </c>
      <c r="D59" t="s">
        <v>507</v>
      </c>
      <c r="E59" t="s">
        <v>101</v>
      </c>
      <c r="F59">
        <f>28000+35000</f>
        <v>63000</v>
      </c>
      <c r="G59" t="s">
        <v>827</v>
      </c>
    </row>
    <row r="60" spans="2:7" x14ac:dyDescent="0.3">
      <c r="B60" t="s">
        <v>600</v>
      </c>
      <c r="C60" t="s">
        <v>601</v>
      </c>
      <c r="D60" t="s">
        <v>507</v>
      </c>
      <c r="E60" t="s">
        <v>101</v>
      </c>
      <c r="F60">
        <f>28000+35000*2</f>
        <v>98000</v>
      </c>
      <c r="G60" t="s">
        <v>827</v>
      </c>
    </row>
    <row r="61" spans="2:7" x14ac:dyDescent="0.3">
      <c r="B61" t="s">
        <v>598</v>
      </c>
      <c r="C61" t="s">
        <v>599</v>
      </c>
      <c r="D61" t="s">
        <v>507</v>
      </c>
      <c r="E61" t="s">
        <v>101</v>
      </c>
      <c r="F61">
        <f>28000+50000</f>
        <v>78000</v>
      </c>
      <c r="G61" t="s">
        <v>827</v>
      </c>
    </row>
    <row r="62" spans="2:7" x14ac:dyDescent="0.3">
      <c r="B62" t="s">
        <v>596</v>
      </c>
      <c r="C62" t="s">
        <v>597</v>
      </c>
      <c r="D62" t="s">
        <v>507</v>
      </c>
      <c r="E62" t="s">
        <v>101</v>
      </c>
      <c r="F62">
        <f>28000+35000</f>
        <v>63000</v>
      </c>
      <c r="G62" t="s">
        <v>827</v>
      </c>
    </row>
    <row r="63" spans="2:7" x14ac:dyDescent="0.3">
      <c r="B63" t="s">
        <v>594</v>
      </c>
      <c r="C63" t="s">
        <v>595</v>
      </c>
      <c r="D63" t="s">
        <v>507</v>
      </c>
      <c r="E63" t="s">
        <v>101</v>
      </c>
      <c r="F63">
        <f>28000+43000</f>
        <v>71000</v>
      </c>
      <c r="G63" t="s">
        <v>827</v>
      </c>
    </row>
    <row r="64" spans="2:7" x14ac:dyDescent="0.3">
      <c r="B64" t="s">
        <v>592</v>
      </c>
      <c r="C64" t="s">
        <v>593</v>
      </c>
      <c r="D64" t="s">
        <v>507</v>
      </c>
      <c r="E64" t="s">
        <v>101</v>
      </c>
      <c r="F64">
        <f>28000+54000+43000+35000</f>
        <v>160000</v>
      </c>
      <c r="G64" t="s">
        <v>827</v>
      </c>
    </row>
    <row r="65" spans="2:7" x14ac:dyDescent="0.3">
      <c r="B65" t="s">
        <v>590</v>
      </c>
      <c r="C65" t="s">
        <v>591</v>
      </c>
      <c r="D65" t="s">
        <v>507</v>
      </c>
      <c r="E65" t="s">
        <v>101</v>
      </c>
      <c r="F65">
        <f>28000+54000+43000+50000+35000</f>
        <v>210000</v>
      </c>
      <c r="G65" t="s">
        <v>827</v>
      </c>
    </row>
    <row r="66" spans="2:7" x14ac:dyDescent="0.3">
      <c r="B66" t="s">
        <v>588</v>
      </c>
      <c r="C66" t="s">
        <v>589</v>
      </c>
      <c r="D66" t="s">
        <v>507</v>
      </c>
      <c r="E66" t="s">
        <v>101</v>
      </c>
      <c r="F66">
        <f>28000*2+50000</f>
        <v>106000</v>
      </c>
      <c r="G66" t="s">
        <v>827</v>
      </c>
    </row>
    <row r="67" spans="2:7" x14ac:dyDescent="0.3">
      <c r="B67" t="s">
        <v>586</v>
      </c>
      <c r="C67" t="s">
        <v>587</v>
      </c>
      <c r="D67" t="s">
        <v>507</v>
      </c>
      <c r="E67" t="s">
        <v>101</v>
      </c>
      <c r="F67">
        <f>28000*4+54000</f>
        <v>166000</v>
      </c>
      <c r="G67" t="s">
        <v>827</v>
      </c>
    </row>
    <row r="68" spans="2:7" x14ac:dyDescent="0.3">
      <c r="B68" t="s">
        <v>584</v>
      </c>
      <c r="C68" t="s">
        <v>585</v>
      </c>
      <c r="D68" t="s">
        <v>507</v>
      </c>
      <c r="E68" t="s">
        <v>101</v>
      </c>
      <c r="F68">
        <f>28000*2+35000</f>
        <v>91000</v>
      </c>
      <c r="G68" t="s">
        <v>827</v>
      </c>
    </row>
    <row r="69" spans="2:7" x14ac:dyDescent="0.3">
      <c r="B69" t="s">
        <v>582</v>
      </c>
      <c r="C69" t="s">
        <v>583</v>
      </c>
      <c r="D69" t="s">
        <v>507</v>
      </c>
      <c r="E69" t="s">
        <v>101</v>
      </c>
      <c r="F69">
        <f>28000*2</f>
        <v>56000</v>
      </c>
      <c r="G69" t="s">
        <v>827</v>
      </c>
    </row>
    <row r="70" spans="2:7" x14ac:dyDescent="0.3">
      <c r="B70" t="s">
        <v>580</v>
      </c>
      <c r="C70" t="s">
        <v>581</v>
      </c>
      <c r="D70" t="s">
        <v>507</v>
      </c>
      <c r="E70" t="s">
        <v>101</v>
      </c>
      <c r="F70">
        <f>28000*3</f>
        <v>84000</v>
      </c>
      <c r="G70" t="s">
        <v>827</v>
      </c>
    </row>
    <row r="71" spans="2:7" x14ac:dyDescent="0.3">
      <c r="B71" t="s">
        <v>578</v>
      </c>
      <c r="C71" t="s">
        <v>579</v>
      </c>
      <c r="D71" t="s">
        <v>507</v>
      </c>
      <c r="E71" t="s">
        <v>101</v>
      </c>
      <c r="F71">
        <f>28000*5</f>
        <v>140000</v>
      </c>
      <c r="G71" t="s">
        <v>827</v>
      </c>
    </row>
    <row r="72" spans="2:7" x14ac:dyDescent="0.3">
      <c r="B72" t="s">
        <v>576</v>
      </c>
      <c r="C72" t="s">
        <v>577</v>
      </c>
      <c r="D72" t="s">
        <v>507</v>
      </c>
      <c r="E72" t="s">
        <v>101</v>
      </c>
      <c r="F72">
        <f>28000*7</f>
        <v>196000</v>
      </c>
      <c r="G72" t="s">
        <v>827</v>
      </c>
    </row>
    <row r="73" spans="2:7" x14ac:dyDescent="0.3">
      <c r="B73" t="s">
        <v>572</v>
      </c>
      <c r="C73" t="s">
        <v>573</v>
      </c>
      <c r="D73" t="s">
        <v>507</v>
      </c>
      <c r="E73" t="s">
        <v>101</v>
      </c>
      <c r="F73">
        <f>43000+38000*2</f>
        <v>119000</v>
      </c>
      <c r="G73" t="s">
        <v>827</v>
      </c>
    </row>
    <row r="74" spans="2:7" x14ac:dyDescent="0.3">
      <c r="B74" t="s">
        <v>574</v>
      </c>
      <c r="C74" t="s">
        <v>575</v>
      </c>
      <c r="D74" t="s">
        <v>507</v>
      </c>
      <c r="E74" t="s">
        <v>101</v>
      </c>
      <c r="F74">
        <f>43000+38000</f>
        <v>81000</v>
      </c>
      <c r="G74" t="s">
        <v>827</v>
      </c>
    </row>
    <row r="75" spans="2:7" x14ac:dyDescent="0.3">
      <c r="B75" t="s">
        <v>566</v>
      </c>
      <c r="C75" t="s">
        <v>567</v>
      </c>
      <c r="D75" t="s">
        <v>507</v>
      </c>
      <c r="E75" t="s">
        <v>101</v>
      </c>
      <c r="F75">
        <f>43000+70000+54000</f>
        <v>167000</v>
      </c>
      <c r="G75" t="s">
        <v>827</v>
      </c>
    </row>
    <row r="76" spans="2:7" x14ac:dyDescent="0.3">
      <c r="B76" t="s">
        <v>568</v>
      </c>
      <c r="C76" t="s">
        <v>569</v>
      </c>
      <c r="D76" t="s">
        <v>507</v>
      </c>
      <c r="E76" t="s">
        <v>101</v>
      </c>
      <c r="F76">
        <f>43000+70000</f>
        <v>113000</v>
      </c>
      <c r="G76" t="s">
        <v>827</v>
      </c>
    </row>
    <row r="77" spans="2:7" x14ac:dyDescent="0.3">
      <c r="B77" t="s">
        <v>570</v>
      </c>
      <c r="C77" t="s">
        <v>571</v>
      </c>
      <c r="D77" t="s">
        <v>507</v>
      </c>
      <c r="E77" t="s">
        <v>101</v>
      </c>
      <c r="F77">
        <f>43000+35000</f>
        <v>78000</v>
      </c>
      <c r="G77" t="s">
        <v>827</v>
      </c>
    </row>
    <row r="78" spans="2:7" x14ac:dyDescent="0.3">
      <c r="B78" t="s">
        <v>564</v>
      </c>
      <c r="C78" t="s">
        <v>565</v>
      </c>
      <c r="D78" t="s">
        <v>507</v>
      </c>
      <c r="E78" t="s">
        <v>101</v>
      </c>
      <c r="F78">
        <f>43000*2+54000*2</f>
        <v>194000</v>
      </c>
      <c r="G78" t="s">
        <v>827</v>
      </c>
    </row>
    <row r="79" spans="2:7" x14ac:dyDescent="0.3">
      <c r="B79" t="s">
        <v>562</v>
      </c>
      <c r="C79" t="s">
        <v>563</v>
      </c>
      <c r="D79" t="s">
        <v>507</v>
      </c>
      <c r="E79" t="s">
        <v>101</v>
      </c>
      <c r="F79">
        <f>43000*2</f>
        <v>86000</v>
      </c>
      <c r="G79" t="s">
        <v>827</v>
      </c>
    </row>
    <row r="80" spans="2:7" x14ac:dyDescent="0.3">
      <c r="B80" t="s">
        <v>560</v>
      </c>
      <c r="C80" t="s">
        <v>561</v>
      </c>
      <c r="D80" t="s">
        <v>507</v>
      </c>
      <c r="E80" t="s">
        <v>101</v>
      </c>
      <c r="F80">
        <f>43000*3</f>
        <v>129000</v>
      </c>
      <c r="G80" t="s">
        <v>827</v>
      </c>
    </row>
    <row r="81" spans="2:7" x14ac:dyDescent="0.3">
      <c r="B81" t="s">
        <v>558</v>
      </c>
      <c r="C81" t="s">
        <v>559</v>
      </c>
      <c r="D81" t="s">
        <v>507</v>
      </c>
      <c r="E81" t="s">
        <v>101</v>
      </c>
      <c r="F81">
        <f>43000*4</f>
        <v>172000</v>
      </c>
      <c r="G81" t="s">
        <v>827</v>
      </c>
    </row>
    <row r="82" spans="2:7" x14ac:dyDescent="0.3">
      <c r="B82" t="s">
        <v>556</v>
      </c>
      <c r="C82" t="s">
        <v>557</v>
      </c>
      <c r="D82" t="s">
        <v>507</v>
      </c>
      <c r="E82" t="s">
        <v>101</v>
      </c>
      <c r="F82">
        <f>43000*5</f>
        <v>215000</v>
      </c>
      <c r="G82" t="s">
        <v>827</v>
      </c>
    </row>
    <row r="83" spans="2:7" x14ac:dyDescent="0.3">
      <c r="B83" t="s">
        <v>554</v>
      </c>
      <c r="C83" t="s">
        <v>555</v>
      </c>
      <c r="D83" t="s">
        <v>507</v>
      </c>
      <c r="E83" t="s">
        <v>101</v>
      </c>
      <c r="F83">
        <f>29000*5</f>
        <v>145000</v>
      </c>
      <c r="G83" t="s">
        <v>827</v>
      </c>
    </row>
    <row r="84" spans="2:7" x14ac:dyDescent="0.3">
      <c r="B84" t="s">
        <v>548</v>
      </c>
      <c r="C84" t="s">
        <v>549</v>
      </c>
      <c r="D84" t="s">
        <v>507</v>
      </c>
      <c r="E84" t="s">
        <v>101</v>
      </c>
      <c r="F84">
        <f>43000+35000+32000+50000</f>
        <v>160000</v>
      </c>
      <c r="G84" t="s">
        <v>827</v>
      </c>
    </row>
    <row r="85" spans="2:7" x14ac:dyDescent="0.3">
      <c r="B85" t="s">
        <v>550</v>
      </c>
      <c r="C85" t="s">
        <v>551</v>
      </c>
      <c r="D85" t="s">
        <v>507</v>
      </c>
      <c r="E85" t="s">
        <v>101</v>
      </c>
      <c r="F85">
        <f>43000+35000+32000</f>
        <v>110000</v>
      </c>
      <c r="G85" t="s">
        <v>827</v>
      </c>
    </row>
    <row r="86" spans="2:7" x14ac:dyDescent="0.3">
      <c r="B86" t="s">
        <v>546</v>
      </c>
      <c r="C86" t="s">
        <v>547</v>
      </c>
      <c r="D86" t="s">
        <v>507</v>
      </c>
      <c r="E86" t="s">
        <v>101</v>
      </c>
      <c r="F86">
        <f>29000+36000</f>
        <v>65000</v>
      </c>
      <c r="G86" t="s">
        <v>827</v>
      </c>
    </row>
    <row r="87" spans="2:7" x14ac:dyDescent="0.3">
      <c r="B87" t="s">
        <v>544</v>
      </c>
      <c r="C87" t="s">
        <v>545</v>
      </c>
      <c r="D87" t="s">
        <v>507</v>
      </c>
      <c r="E87" t="s">
        <v>101</v>
      </c>
      <c r="F87">
        <f>43000+54000</f>
        <v>97000</v>
      </c>
      <c r="G87" t="s">
        <v>827</v>
      </c>
    </row>
    <row r="88" spans="2:7" x14ac:dyDescent="0.3">
      <c r="B88" t="s">
        <v>542</v>
      </c>
      <c r="C88" t="s">
        <v>543</v>
      </c>
      <c r="D88" t="s">
        <v>507</v>
      </c>
      <c r="E88" t="s">
        <v>101</v>
      </c>
      <c r="F88">
        <f>43000+54000+35000</f>
        <v>132000</v>
      </c>
      <c r="G88" t="s">
        <v>827</v>
      </c>
    </row>
    <row r="89" spans="2:7" x14ac:dyDescent="0.3">
      <c r="B89" t="s">
        <v>540</v>
      </c>
      <c r="C89" t="s">
        <v>541</v>
      </c>
      <c r="D89" t="s">
        <v>507</v>
      </c>
      <c r="E89" t="s">
        <v>101</v>
      </c>
      <c r="F89">
        <f>43000+54000+35000+50000</f>
        <v>182000</v>
      </c>
      <c r="G89" t="s">
        <v>827</v>
      </c>
    </row>
    <row r="90" spans="2:7" x14ac:dyDescent="0.3">
      <c r="B90" t="s">
        <v>538</v>
      </c>
      <c r="C90" t="s">
        <v>539</v>
      </c>
      <c r="D90" t="s">
        <v>507</v>
      </c>
      <c r="E90" t="s">
        <v>101</v>
      </c>
      <c r="F90">
        <f>43000+54000+70000</f>
        <v>167000</v>
      </c>
      <c r="G90" t="s">
        <v>827</v>
      </c>
    </row>
    <row r="91" spans="2:7" x14ac:dyDescent="0.3">
      <c r="B91" t="s">
        <v>536</v>
      </c>
      <c r="C91" t="s">
        <v>537</v>
      </c>
      <c r="D91" t="s">
        <v>507</v>
      </c>
      <c r="E91" t="s">
        <v>101</v>
      </c>
      <c r="F91">
        <f>43000+54000+28000</f>
        <v>125000</v>
      </c>
      <c r="G91" t="s">
        <v>827</v>
      </c>
    </row>
    <row r="92" spans="2:7" x14ac:dyDescent="0.3">
      <c r="B92" t="s">
        <v>534</v>
      </c>
      <c r="C92" t="s">
        <v>535</v>
      </c>
      <c r="D92" t="s">
        <v>507</v>
      </c>
      <c r="E92" t="s">
        <v>101</v>
      </c>
      <c r="F92">
        <f>43000+54000+50000</f>
        <v>147000</v>
      </c>
      <c r="G92" t="s">
        <v>827</v>
      </c>
    </row>
    <row r="93" spans="2:7" x14ac:dyDescent="0.3">
      <c r="B93" t="s">
        <v>532</v>
      </c>
      <c r="C93" t="s">
        <v>533</v>
      </c>
      <c r="D93" t="s">
        <v>507</v>
      </c>
      <c r="E93" t="s">
        <v>101</v>
      </c>
      <c r="F93">
        <f>43000+50000</f>
        <v>93000</v>
      </c>
      <c r="G93" t="s">
        <v>827</v>
      </c>
    </row>
    <row r="94" spans="2:7" x14ac:dyDescent="0.3">
      <c r="B94" t="s">
        <v>530</v>
      </c>
      <c r="C94" t="s">
        <v>531</v>
      </c>
      <c r="D94" t="s">
        <v>507</v>
      </c>
      <c r="E94" t="s">
        <v>101</v>
      </c>
      <c r="F94">
        <f>43000+100000</f>
        <v>143000</v>
      </c>
      <c r="G94" t="s">
        <v>827</v>
      </c>
    </row>
    <row r="95" spans="2:7" x14ac:dyDescent="0.3">
      <c r="B95" t="s">
        <v>528</v>
      </c>
      <c r="C95" t="s">
        <v>529</v>
      </c>
      <c r="D95" t="s">
        <v>507</v>
      </c>
      <c r="E95" t="s">
        <v>101</v>
      </c>
      <c r="F95">
        <f>29000*2</f>
        <v>58000</v>
      </c>
      <c r="G95" t="s">
        <v>827</v>
      </c>
    </row>
    <row r="96" spans="2:7" x14ac:dyDescent="0.3">
      <c r="B96" t="s">
        <v>552</v>
      </c>
      <c r="C96" t="s">
        <v>553</v>
      </c>
      <c r="D96" t="s">
        <v>507</v>
      </c>
      <c r="E96" t="s">
        <v>10</v>
      </c>
      <c r="F96">
        <f>29000+36000+28000</f>
        <v>93000</v>
      </c>
      <c r="G96" t="s">
        <v>827</v>
      </c>
    </row>
    <row r="97" spans="2:7" x14ac:dyDescent="0.3">
      <c r="B97" t="s">
        <v>526</v>
      </c>
      <c r="C97" t="s">
        <v>527</v>
      </c>
      <c r="D97" t="s">
        <v>507</v>
      </c>
      <c r="E97" t="s">
        <v>101</v>
      </c>
      <c r="F97">
        <f>13000+27000</f>
        <v>40000</v>
      </c>
      <c r="G97" t="s">
        <v>827</v>
      </c>
    </row>
    <row r="98" spans="2:7" x14ac:dyDescent="0.3">
      <c r="B98" t="s">
        <v>524</v>
      </c>
      <c r="C98" t="s">
        <v>525</v>
      </c>
      <c r="D98" t="s">
        <v>507</v>
      </c>
      <c r="E98" t="s">
        <v>101</v>
      </c>
      <c r="F98">
        <v>14000</v>
      </c>
      <c r="G98" t="s">
        <v>827</v>
      </c>
    </row>
    <row r="99" spans="2:7" x14ac:dyDescent="0.3">
      <c r="B99" t="s">
        <v>522</v>
      </c>
      <c r="C99" t="s">
        <v>523</v>
      </c>
      <c r="D99" t="s">
        <v>507</v>
      </c>
      <c r="E99" t="s">
        <v>101</v>
      </c>
      <c r="F99">
        <f>38000+43000+54000+50000</f>
        <v>185000</v>
      </c>
      <c r="G99" t="s">
        <v>827</v>
      </c>
    </row>
    <row r="100" spans="2:7" x14ac:dyDescent="0.3">
      <c r="B100" t="s">
        <v>520</v>
      </c>
      <c r="C100" t="s">
        <v>521</v>
      </c>
      <c r="D100" t="s">
        <v>507</v>
      </c>
      <c r="E100" t="s">
        <v>101</v>
      </c>
      <c r="F100">
        <v>50000</v>
      </c>
      <c r="G100" t="s">
        <v>827</v>
      </c>
    </row>
    <row r="101" spans="2:7" x14ac:dyDescent="0.3">
      <c r="B101" t="s">
        <v>518</v>
      </c>
      <c r="C101" t="s">
        <v>519</v>
      </c>
      <c r="D101" t="s">
        <v>507</v>
      </c>
      <c r="E101" t="s">
        <v>101</v>
      </c>
      <c r="F101">
        <v>85000</v>
      </c>
      <c r="G101" t="s">
        <v>827</v>
      </c>
    </row>
    <row r="102" spans="2:7" x14ac:dyDescent="0.3">
      <c r="B102" t="s">
        <v>516</v>
      </c>
      <c r="C102" t="s">
        <v>517</v>
      </c>
      <c r="D102" t="s">
        <v>507</v>
      </c>
      <c r="E102" t="s">
        <v>101</v>
      </c>
      <c r="F102">
        <f>97000*2</f>
        <v>194000</v>
      </c>
      <c r="G102" t="s">
        <v>827</v>
      </c>
    </row>
    <row r="103" spans="2:7" x14ac:dyDescent="0.3">
      <c r="B103" t="s">
        <v>512</v>
      </c>
      <c r="C103" t="s">
        <v>513</v>
      </c>
      <c r="D103" t="s">
        <v>507</v>
      </c>
      <c r="E103" t="s">
        <v>101</v>
      </c>
      <c r="F103">
        <f>97000+35000+50000+28000</f>
        <v>210000</v>
      </c>
      <c r="G103" t="s">
        <v>827</v>
      </c>
    </row>
    <row r="104" spans="2:7" x14ac:dyDescent="0.3">
      <c r="B104" t="s">
        <v>514</v>
      </c>
      <c r="C104" t="s">
        <v>515</v>
      </c>
      <c r="D104" t="s">
        <v>507</v>
      </c>
      <c r="E104" t="s">
        <v>101</v>
      </c>
      <c r="F104">
        <v>97000</v>
      </c>
      <c r="G104" t="s">
        <v>827</v>
      </c>
    </row>
    <row r="105" spans="2:7" x14ac:dyDescent="0.3">
      <c r="B105" t="s">
        <v>510</v>
      </c>
      <c r="C105" t="s">
        <v>511</v>
      </c>
      <c r="D105" t="s">
        <v>507</v>
      </c>
      <c r="E105" t="s">
        <v>101</v>
      </c>
      <c r="F105">
        <f>62000*2</f>
        <v>124000</v>
      </c>
      <c r="G105" t="s">
        <v>827</v>
      </c>
    </row>
    <row r="106" spans="2:7" x14ac:dyDescent="0.3">
      <c r="B106" t="s">
        <v>508</v>
      </c>
      <c r="C106" t="s">
        <v>509</v>
      </c>
      <c r="D106" t="s">
        <v>507</v>
      </c>
      <c r="E106" t="s">
        <v>10</v>
      </c>
      <c r="F106">
        <v>100</v>
      </c>
      <c r="G106" t="s">
        <v>827</v>
      </c>
    </row>
    <row r="107" spans="2:7" x14ac:dyDescent="0.3">
      <c r="B107" t="s">
        <v>505</v>
      </c>
      <c r="C107" t="s">
        <v>506</v>
      </c>
      <c r="D107" t="s">
        <v>507</v>
      </c>
      <c r="E107" t="s">
        <v>10</v>
      </c>
      <c r="F107">
        <v>3000</v>
      </c>
      <c r="G107" t="s">
        <v>827</v>
      </c>
    </row>
    <row r="108" spans="2:7" x14ac:dyDescent="0.3">
      <c r="B108" t="s">
        <v>503</v>
      </c>
      <c r="C108" t="s">
        <v>504</v>
      </c>
      <c r="D108" t="s">
        <v>478</v>
      </c>
      <c r="E108" t="s">
        <v>10</v>
      </c>
      <c r="F108">
        <v>9900</v>
      </c>
      <c r="G108" t="s">
        <v>827</v>
      </c>
    </row>
    <row r="109" spans="2:7" x14ac:dyDescent="0.3">
      <c r="B109" t="s">
        <v>501</v>
      </c>
      <c r="C109" t="s">
        <v>502</v>
      </c>
      <c r="D109" t="s">
        <v>478</v>
      </c>
      <c r="E109" t="s">
        <v>10</v>
      </c>
      <c r="F109">
        <v>11000</v>
      </c>
      <c r="G109" t="s">
        <v>827</v>
      </c>
    </row>
    <row r="110" spans="2:7" x14ac:dyDescent="0.3">
      <c r="B110" t="s">
        <v>499</v>
      </c>
      <c r="C110" t="s">
        <v>500</v>
      </c>
      <c r="D110" t="s">
        <v>478</v>
      </c>
      <c r="E110" t="s">
        <v>10</v>
      </c>
      <c r="F110">
        <v>44000</v>
      </c>
      <c r="G110" t="s">
        <v>827</v>
      </c>
    </row>
    <row r="111" spans="2:7" x14ac:dyDescent="0.3">
      <c r="B111" t="s">
        <v>497</v>
      </c>
      <c r="C111" t="s">
        <v>498</v>
      </c>
      <c r="D111" t="s">
        <v>478</v>
      </c>
      <c r="E111" t="s">
        <v>10</v>
      </c>
      <c r="F111">
        <v>44000</v>
      </c>
      <c r="G111" t="s">
        <v>827</v>
      </c>
    </row>
    <row r="112" spans="2:7" x14ac:dyDescent="0.3">
      <c r="B112" t="s">
        <v>495</v>
      </c>
      <c r="C112" t="s">
        <v>496</v>
      </c>
      <c r="D112" t="s">
        <v>478</v>
      </c>
      <c r="E112" t="s">
        <v>10</v>
      </c>
      <c r="F112">
        <v>44000</v>
      </c>
      <c r="G112" t="s">
        <v>827</v>
      </c>
    </row>
    <row r="113" spans="2:7" x14ac:dyDescent="0.3">
      <c r="B113" t="s">
        <v>493</v>
      </c>
      <c r="C113" t="s">
        <v>494</v>
      </c>
      <c r="D113" t="s">
        <v>478</v>
      </c>
      <c r="E113" t="s">
        <v>10</v>
      </c>
      <c r="F113">
        <v>44000</v>
      </c>
      <c r="G113" t="s">
        <v>827</v>
      </c>
    </row>
    <row r="114" spans="2:7" x14ac:dyDescent="0.3">
      <c r="B114" t="s">
        <v>491</v>
      </c>
      <c r="C114" t="s">
        <v>492</v>
      </c>
      <c r="D114" t="s">
        <v>478</v>
      </c>
      <c r="E114" t="s">
        <v>10</v>
      </c>
      <c r="F114">
        <v>48000</v>
      </c>
      <c r="G114" t="s">
        <v>827</v>
      </c>
    </row>
    <row r="115" spans="2:7" x14ac:dyDescent="0.3">
      <c r="B115" t="s">
        <v>489</v>
      </c>
      <c r="C115" t="s">
        <v>490</v>
      </c>
      <c r="D115" t="s">
        <v>478</v>
      </c>
      <c r="E115" t="s">
        <v>10</v>
      </c>
      <c r="F115">
        <v>17500</v>
      </c>
      <c r="G115" t="s">
        <v>827</v>
      </c>
    </row>
    <row r="116" spans="2:7" x14ac:dyDescent="0.3">
      <c r="B116" t="s">
        <v>487</v>
      </c>
      <c r="C116" t="s">
        <v>488</v>
      </c>
      <c r="D116" t="s">
        <v>478</v>
      </c>
      <c r="E116" t="s">
        <v>10</v>
      </c>
      <c r="F116">
        <v>3000</v>
      </c>
      <c r="G116" t="s">
        <v>827</v>
      </c>
    </row>
    <row r="117" spans="2:7" x14ac:dyDescent="0.3">
      <c r="B117" t="s">
        <v>485</v>
      </c>
      <c r="C117" t="s">
        <v>486</v>
      </c>
      <c r="D117" t="s">
        <v>478</v>
      </c>
      <c r="E117" t="s">
        <v>10</v>
      </c>
      <c r="F117">
        <v>1000</v>
      </c>
      <c r="G117" t="s">
        <v>827</v>
      </c>
    </row>
    <row r="118" spans="2:7" x14ac:dyDescent="0.3">
      <c r="B118" t="s">
        <v>483</v>
      </c>
      <c r="C118" t="s">
        <v>484</v>
      </c>
      <c r="D118" t="s">
        <v>478</v>
      </c>
      <c r="E118" t="s">
        <v>10</v>
      </c>
      <c r="F118">
        <v>8000</v>
      </c>
      <c r="G118" t="s">
        <v>827</v>
      </c>
    </row>
    <row r="119" spans="2:7" x14ac:dyDescent="0.3">
      <c r="B119" t="s">
        <v>481</v>
      </c>
      <c r="C119" t="s">
        <v>482</v>
      </c>
      <c r="D119" t="s">
        <v>478</v>
      </c>
      <c r="E119" t="s">
        <v>10</v>
      </c>
      <c r="F119">
        <v>7500</v>
      </c>
      <c r="G119" t="s">
        <v>827</v>
      </c>
    </row>
    <row r="120" spans="2:7" x14ac:dyDescent="0.3">
      <c r="B120" t="s">
        <v>479</v>
      </c>
      <c r="C120" t="s">
        <v>480</v>
      </c>
      <c r="D120" t="s">
        <v>478</v>
      </c>
      <c r="E120" t="s">
        <v>10</v>
      </c>
      <c r="F120">
        <v>3000</v>
      </c>
      <c r="G120" t="s">
        <v>827</v>
      </c>
    </row>
    <row r="121" spans="2:7" x14ac:dyDescent="0.3">
      <c r="B121" t="s">
        <v>476</v>
      </c>
      <c r="C121" t="s">
        <v>477</v>
      </c>
      <c r="D121" t="s">
        <v>478</v>
      </c>
      <c r="E121" t="s">
        <v>10</v>
      </c>
      <c r="F121">
        <v>5000</v>
      </c>
      <c r="G121" t="s">
        <v>827</v>
      </c>
    </row>
    <row r="122" spans="2:7" x14ac:dyDescent="0.3">
      <c r="B122" t="s">
        <v>474</v>
      </c>
      <c r="C122" t="s">
        <v>475</v>
      </c>
      <c r="D122" t="s">
        <v>359</v>
      </c>
      <c r="E122" t="s">
        <v>101</v>
      </c>
      <c r="F122">
        <v>70000</v>
      </c>
      <c r="G122" t="s">
        <v>827</v>
      </c>
    </row>
    <row r="123" spans="2:7" x14ac:dyDescent="0.3">
      <c r="B123" t="s">
        <v>472</v>
      </c>
      <c r="C123" t="s">
        <v>473</v>
      </c>
      <c r="D123" t="s">
        <v>359</v>
      </c>
      <c r="E123" t="s">
        <v>101</v>
      </c>
      <c r="F123">
        <v>65900</v>
      </c>
      <c r="G123" t="s">
        <v>827</v>
      </c>
    </row>
    <row r="124" spans="2:7" x14ac:dyDescent="0.3">
      <c r="B124" t="s">
        <v>470</v>
      </c>
      <c r="C124" t="s">
        <v>471</v>
      </c>
      <c r="D124" t="s">
        <v>359</v>
      </c>
      <c r="E124" t="s">
        <v>101</v>
      </c>
      <c r="F124">
        <v>81900</v>
      </c>
      <c r="G124" t="s">
        <v>827</v>
      </c>
    </row>
    <row r="125" spans="2:7" x14ac:dyDescent="0.3">
      <c r="B125" t="s">
        <v>468</v>
      </c>
      <c r="C125" t="s">
        <v>469</v>
      </c>
      <c r="D125" t="s">
        <v>359</v>
      </c>
      <c r="E125" t="s">
        <v>101</v>
      </c>
      <c r="F125">
        <v>65900</v>
      </c>
      <c r="G125" t="s">
        <v>827</v>
      </c>
    </row>
    <row r="126" spans="2:7" x14ac:dyDescent="0.3">
      <c r="B126" t="s">
        <v>464</v>
      </c>
      <c r="C126" t="s">
        <v>465</v>
      </c>
      <c r="D126" t="s">
        <v>359</v>
      </c>
      <c r="E126" t="s">
        <v>101</v>
      </c>
      <c r="F126">
        <v>180000</v>
      </c>
      <c r="G126" t="s">
        <v>827</v>
      </c>
    </row>
    <row r="127" spans="2:7" x14ac:dyDescent="0.3">
      <c r="B127" t="s">
        <v>466</v>
      </c>
      <c r="C127" t="s">
        <v>467</v>
      </c>
      <c r="D127" t="s">
        <v>359</v>
      </c>
      <c r="E127" t="s">
        <v>101</v>
      </c>
      <c r="F127">
        <v>98000</v>
      </c>
      <c r="G127" t="s">
        <v>827</v>
      </c>
    </row>
    <row r="128" spans="2:7" x14ac:dyDescent="0.3">
      <c r="B128" t="s">
        <v>462</v>
      </c>
      <c r="C128" t="s">
        <v>463</v>
      </c>
      <c r="D128" t="s">
        <v>359</v>
      </c>
      <c r="E128" t="s">
        <v>101</v>
      </c>
      <c r="F128">
        <v>180000</v>
      </c>
      <c r="G128" t="s">
        <v>827</v>
      </c>
    </row>
    <row r="129" spans="2:7" x14ac:dyDescent="0.3">
      <c r="B129" t="s">
        <v>460</v>
      </c>
      <c r="C129" t="s">
        <v>461</v>
      </c>
      <c r="D129" t="s">
        <v>359</v>
      </c>
      <c r="E129" t="s">
        <v>101</v>
      </c>
      <c r="F129">
        <v>59800</v>
      </c>
      <c r="G129" t="s">
        <v>827</v>
      </c>
    </row>
    <row r="130" spans="2:7" x14ac:dyDescent="0.3">
      <c r="B130" t="s">
        <v>458</v>
      </c>
      <c r="C130" t="s">
        <v>459</v>
      </c>
      <c r="D130" t="s">
        <v>359</v>
      </c>
      <c r="E130" t="s">
        <v>101</v>
      </c>
      <c r="F130">
        <v>81900</v>
      </c>
      <c r="G130" t="s">
        <v>827</v>
      </c>
    </row>
    <row r="131" spans="2:7" x14ac:dyDescent="0.3">
      <c r="B131" t="s">
        <v>456</v>
      </c>
      <c r="C131" t="s">
        <v>457</v>
      </c>
      <c r="D131" t="s">
        <v>359</v>
      </c>
      <c r="E131" t="s">
        <v>101</v>
      </c>
      <c r="F131">
        <v>180000</v>
      </c>
      <c r="G131" t="s">
        <v>827</v>
      </c>
    </row>
    <row r="132" spans="2:7" x14ac:dyDescent="0.3">
      <c r="B132" t="s">
        <v>454</v>
      </c>
      <c r="C132" t="s">
        <v>455</v>
      </c>
      <c r="D132" t="s">
        <v>359</v>
      </c>
      <c r="E132" t="s">
        <v>101</v>
      </c>
      <c r="F132">
        <v>65900</v>
      </c>
      <c r="G132" t="s">
        <v>827</v>
      </c>
    </row>
    <row r="133" spans="2:7" x14ac:dyDescent="0.3">
      <c r="B133" t="s">
        <v>452</v>
      </c>
      <c r="C133" t="s">
        <v>453</v>
      </c>
      <c r="D133" t="s">
        <v>359</v>
      </c>
      <c r="E133" t="s">
        <v>101</v>
      </c>
      <c r="F133">
        <v>98000</v>
      </c>
      <c r="G133" t="s">
        <v>827</v>
      </c>
    </row>
    <row r="134" spans="2:7" x14ac:dyDescent="0.3">
      <c r="B134" t="s">
        <v>450</v>
      </c>
      <c r="C134" t="s">
        <v>451</v>
      </c>
      <c r="D134" t="s">
        <v>359</v>
      </c>
      <c r="E134" t="s">
        <v>101</v>
      </c>
      <c r="F134">
        <v>180000</v>
      </c>
      <c r="G134" t="s">
        <v>827</v>
      </c>
    </row>
    <row r="135" spans="2:7" x14ac:dyDescent="0.3">
      <c r="B135" t="s">
        <v>448</v>
      </c>
      <c r="C135" t="s">
        <v>449</v>
      </c>
      <c r="D135" t="s">
        <v>359</v>
      </c>
      <c r="E135" t="s">
        <v>101</v>
      </c>
      <c r="F135">
        <v>59800</v>
      </c>
      <c r="G135" t="s">
        <v>827</v>
      </c>
    </row>
    <row r="136" spans="2:7" x14ac:dyDescent="0.3">
      <c r="B136" t="s">
        <v>446</v>
      </c>
      <c r="C136" t="s">
        <v>447</v>
      </c>
      <c r="D136" t="s">
        <v>359</v>
      </c>
      <c r="E136" t="s">
        <v>101</v>
      </c>
      <c r="F136">
        <v>81900</v>
      </c>
      <c r="G136" t="s">
        <v>827</v>
      </c>
    </row>
    <row r="137" spans="2:7" x14ac:dyDescent="0.3">
      <c r="B137" t="s">
        <v>444</v>
      </c>
      <c r="C137" t="s">
        <v>445</v>
      </c>
      <c r="D137" t="s">
        <v>359</v>
      </c>
      <c r="E137" t="s">
        <v>101</v>
      </c>
      <c r="F137">
        <v>180000</v>
      </c>
      <c r="G137" t="s">
        <v>827</v>
      </c>
    </row>
    <row r="138" spans="2:7" x14ac:dyDescent="0.3">
      <c r="B138" t="s">
        <v>442</v>
      </c>
      <c r="C138" t="s">
        <v>443</v>
      </c>
      <c r="D138" t="s">
        <v>359</v>
      </c>
      <c r="E138" t="s">
        <v>101</v>
      </c>
      <c r="F138">
        <v>65900</v>
      </c>
      <c r="G138" t="s">
        <v>827</v>
      </c>
    </row>
    <row r="139" spans="2:7" x14ac:dyDescent="0.3">
      <c r="B139" t="s">
        <v>440</v>
      </c>
      <c r="C139" t="s">
        <v>441</v>
      </c>
      <c r="D139" t="s">
        <v>359</v>
      </c>
      <c r="E139" t="s">
        <v>101</v>
      </c>
      <c r="F139">
        <v>65900</v>
      </c>
      <c r="G139" t="s">
        <v>827</v>
      </c>
    </row>
    <row r="140" spans="2:7" x14ac:dyDescent="0.3">
      <c r="B140" t="s">
        <v>438</v>
      </c>
      <c r="C140" t="s">
        <v>439</v>
      </c>
      <c r="D140" t="s">
        <v>359</v>
      </c>
      <c r="E140" t="s">
        <v>101</v>
      </c>
      <c r="F140">
        <v>76500</v>
      </c>
      <c r="G140" t="s">
        <v>827</v>
      </c>
    </row>
    <row r="141" spans="2:7" x14ac:dyDescent="0.3">
      <c r="B141" t="s">
        <v>436</v>
      </c>
      <c r="C141" t="s">
        <v>437</v>
      </c>
      <c r="D141" t="s">
        <v>359</v>
      </c>
      <c r="E141" t="s">
        <v>101</v>
      </c>
      <c r="F141">
        <v>76500</v>
      </c>
      <c r="G141" t="s">
        <v>827</v>
      </c>
    </row>
    <row r="142" spans="2:7" x14ac:dyDescent="0.3">
      <c r="B142" t="s">
        <v>434</v>
      </c>
      <c r="C142" t="s">
        <v>435</v>
      </c>
      <c r="D142" t="s">
        <v>359</v>
      </c>
      <c r="E142" t="s">
        <v>101</v>
      </c>
      <c r="F142">
        <v>65900</v>
      </c>
      <c r="G142" t="s">
        <v>827</v>
      </c>
    </row>
    <row r="143" spans="2:7" x14ac:dyDescent="0.3">
      <c r="B143" t="s">
        <v>432</v>
      </c>
      <c r="C143" t="s">
        <v>433</v>
      </c>
      <c r="D143" t="s">
        <v>359</v>
      </c>
      <c r="E143" t="s">
        <v>101</v>
      </c>
      <c r="F143">
        <v>52000</v>
      </c>
      <c r="G143" t="s">
        <v>827</v>
      </c>
    </row>
    <row r="144" spans="2:7" x14ac:dyDescent="0.3">
      <c r="B144" t="s">
        <v>430</v>
      </c>
      <c r="C144" t="s">
        <v>431</v>
      </c>
      <c r="D144" t="s">
        <v>359</v>
      </c>
      <c r="E144" t="s">
        <v>101</v>
      </c>
      <c r="F144">
        <v>78000</v>
      </c>
      <c r="G144" t="s">
        <v>827</v>
      </c>
    </row>
    <row r="145" spans="2:7" x14ac:dyDescent="0.3">
      <c r="B145" t="s">
        <v>428</v>
      </c>
      <c r="C145" t="s">
        <v>429</v>
      </c>
      <c r="D145" t="s">
        <v>359</v>
      </c>
      <c r="E145" t="s">
        <v>101</v>
      </c>
      <c r="F145">
        <v>104000</v>
      </c>
      <c r="G145" t="s">
        <v>827</v>
      </c>
    </row>
    <row r="146" spans="2:7" x14ac:dyDescent="0.3">
      <c r="B146" t="s">
        <v>426</v>
      </c>
      <c r="C146" t="s">
        <v>427</v>
      </c>
      <c r="D146" t="s">
        <v>359</v>
      </c>
      <c r="E146" t="s">
        <v>10</v>
      </c>
      <c r="F146">
        <v>26000</v>
      </c>
      <c r="G146" t="s">
        <v>827</v>
      </c>
    </row>
    <row r="147" spans="2:7" x14ac:dyDescent="0.3">
      <c r="B147" t="s">
        <v>424</v>
      </c>
      <c r="C147" t="s">
        <v>425</v>
      </c>
      <c r="D147" t="s">
        <v>359</v>
      </c>
      <c r="E147" t="s">
        <v>101</v>
      </c>
      <c r="F147">
        <v>64900</v>
      </c>
      <c r="G147" t="s">
        <v>827</v>
      </c>
    </row>
    <row r="148" spans="2:7" x14ac:dyDescent="0.3">
      <c r="B148" t="s">
        <v>422</v>
      </c>
      <c r="C148" t="s">
        <v>423</v>
      </c>
      <c r="D148" t="s">
        <v>359</v>
      </c>
      <c r="E148" t="s">
        <v>101</v>
      </c>
      <c r="F148">
        <v>84900</v>
      </c>
      <c r="G148" t="s">
        <v>827</v>
      </c>
    </row>
    <row r="149" spans="2:7" x14ac:dyDescent="0.3">
      <c r="B149" t="s">
        <v>420</v>
      </c>
      <c r="C149" t="s">
        <v>421</v>
      </c>
      <c r="D149" t="s">
        <v>359</v>
      </c>
      <c r="E149" t="s">
        <v>101</v>
      </c>
      <c r="F149">
        <v>48000</v>
      </c>
      <c r="G149" t="s">
        <v>827</v>
      </c>
    </row>
    <row r="150" spans="2:7" x14ac:dyDescent="0.3">
      <c r="B150" t="s">
        <v>416</v>
      </c>
      <c r="C150" t="s">
        <v>417</v>
      </c>
      <c r="D150" t="s">
        <v>359</v>
      </c>
      <c r="E150" t="s">
        <v>101</v>
      </c>
      <c r="F150">
        <v>139800</v>
      </c>
      <c r="G150" t="s">
        <v>827</v>
      </c>
    </row>
    <row r="151" spans="2:7" x14ac:dyDescent="0.3">
      <c r="B151" t="s">
        <v>414</v>
      </c>
      <c r="C151" t="s">
        <v>415</v>
      </c>
      <c r="D151" t="s">
        <v>359</v>
      </c>
      <c r="E151" t="s">
        <v>101</v>
      </c>
      <c r="F151">
        <v>189000</v>
      </c>
      <c r="G151" t="s">
        <v>827</v>
      </c>
    </row>
    <row r="152" spans="2:7" x14ac:dyDescent="0.3">
      <c r="B152" t="s">
        <v>418</v>
      </c>
      <c r="C152" t="s">
        <v>419</v>
      </c>
      <c r="D152" t="s">
        <v>359</v>
      </c>
      <c r="E152" t="s">
        <v>101</v>
      </c>
      <c r="F152">
        <v>55900</v>
      </c>
      <c r="G152" t="s">
        <v>827</v>
      </c>
    </row>
    <row r="153" spans="2:7" x14ac:dyDescent="0.3">
      <c r="B153" t="s">
        <v>412</v>
      </c>
      <c r="C153" t="s">
        <v>413</v>
      </c>
      <c r="D153" t="s">
        <v>359</v>
      </c>
      <c r="E153" t="s">
        <v>101</v>
      </c>
      <c r="F153">
        <v>50000</v>
      </c>
      <c r="G153" t="s">
        <v>827</v>
      </c>
    </row>
    <row r="154" spans="2:7" x14ac:dyDescent="0.3">
      <c r="B154" t="s">
        <v>410</v>
      </c>
      <c r="C154" t="s">
        <v>411</v>
      </c>
      <c r="D154" t="s">
        <v>359</v>
      </c>
      <c r="E154" t="s">
        <v>101</v>
      </c>
      <c r="F154">
        <v>50000</v>
      </c>
      <c r="G154" t="s">
        <v>827</v>
      </c>
    </row>
    <row r="155" spans="2:7" x14ac:dyDescent="0.3">
      <c r="B155" t="s">
        <v>408</v>
      </c>
      <c r="C155" t="s">
        <v>409</v>
      </c>
      <c r="D155" t="s">
        <v>359</v>
      </c>
      <c r="E155" t="s">
        <v>101</v>
      </c>
      <c r="F155">
        <v>24000</v>
      </c>
      <c r="G155" t="s">
        <v>827</v>
      </c>
    </row>
    <row r="156" spans="2:7" x14ac:dyDescent="0.3">
      <c r="B156" t="s">
        <v>406</v>
      </c>
      <c r="C156" t="s">
        <v>407</v>
      </c>
      <c r="D156" t="s">
        <v>359</v>
      </c>
      <c r="E156" t="s">
        <v>101</v>
      </c>
      <c r="F156">
        <v>50000</v>
      </c>
      <c r="G156" t="s">
        <v>827</v>
      </c>
    </row>
    <row r="157" spans="2:7" x14ac:dyDescent="0.3">
      <c r="B157" t="s">
        <v>404</v>
      </c>
      <c r="C157" t="s">
        <v>405</v>
      </c>
      <c r="D157" t="s">
        <v>359</v>
      </c>
      <c r="E157" t="s">
        <v>10</v>
      </c>
      <c r="F157">
        <v>41000</v>
      </c>
      <c r="G157" t="s">
        <v>827</v>
      </c>
    </row>
    <row r="158" spans="2:7" x14ac:dyDescent="0.3">
      <c r="B158" t="s">
        <v>402</v>
      </c>
      <c r="C158" t="s">
        <v>403</v>
      </c>
      <c r="D158" t="s">
        <v>359</v>
      </c>
      <c r="E158" t="s">
        <v>10</v>
      </c>
      <c r="F158">
        <v>59000</v>
      </c>
      <c r="G158" t="s">
        <v>827</v>
      </c>
    </row>
    <row r="159" spans="2:7" x14ac:dyDescent="0.3">
      <c r="B159" t="s">
        <v>400</v>
      </c>
      <c r="C159" t="s">
        <v>401</v>
      </c>
      <c r="D159" t="s">
        <v>359</v>
      </c>
      <c r="E159" t="s">
        <v>10</v>
      </c>
      <c r="F159">
        <v>59000</v>
      </c>
      <c r="G159" t="s">
        <v>827</v>
      </c>
    </row>
    <row r="160" spans="2:7" x14ac:dyDescent="0.3">
      <c r="B160" t="s">
        <v>398</v>
      </c>
      <c r="C160" t="s">
        <v>399</v>
      </c>
      <c r="D160" t="s">
        <v>359</v>
      </c>
      <c r="E160" t="s">
        <v>10</v>
      </c>
      <c r="F160">
        <v>41000</v>
      </c>
      <c r="G160" t="s">
        <v>827</v>
      </c>
    </row>
    <row r="161" spans="2:7" x14ac:dyDescent="0.3">
      <c r="B161" t="s">
        <v>396</v>
      </c>
      <c r="C161" t="s">
        <v>397</v>
      </c>
      <c r="D161" t="s">
        <v>359</v>
      </c>
      <c r="E161" t="s">
        <v>10</v>
      </c>
      <c r="F161">
        <v>70000</v>
      </c>
      <c r="G161" t="s">
        <v>827</v>
      </c>
    </row>
    <row r="162" spans="2:7" x14ac:dyDescent="0.3">
      <c r="B162" t="s">
        <v>394</v>
      </c>
      <c r="C162" t="s">
        <v>395</v>
      </c>
      <c r="D162" t="s">
        <v>359</v>
      </c>
      <c r="E162" t="s">
        <v>10</v>
      </c>
      <c r="F162">
        <v>49000</v>
      </c>
      <c r="G162" t="s">
        <v>827</v>
      </c>
    </row>
    <row r="163" spans="2:7" x14ac:dyDescent="0.3">
      <c r="B163" t="s">
        <v>392</v>
      </c>
      <c r="C163" t="s">
        <v>393</v>
      </c>
      <c r="D163" t="s">
        <v>359</v>
      </c>
      <c r="E163" t="s">
        <v>10</v>
      </c>
      <c r="F163">
        <v>52000</v>
      </c>
      <c r="G163" t="s">
        <v>827</v>
      </c>
    </row>
    <row r="164" spans="2:7" x14ac:dyDescent="0.3">
      <c r="B164" t="s">
        <v>390</v>
      </c>
      <c r="C164" t="s">
        <v>391</v>
      </c>
      <c r="D164" t="s">
        <v>359</v>
      </c>
      <c r="E164" t="s">
        <v>10</v>
      </c>
      <c r="F164">
        <v>48000</v>
      </c>
      <c r="G164" t="s">
        <v>827</v>
      </c>
    </row>
    <row r="165" spans="2:7" x14ac:dyDescent="0.3">
      <c r="B165" t="s">
        <v>388</v>
      </c>
      <c r="C165" t="s">
        <v>389</v>
      </c>
      <c r="D165" t="s">
        <v>359</v>
      </c>
      <c r="E165" t="s">
        <v>10</v>
      </c>
      <c r="F165">
        <v>45000</v>
      </c>
      <c r="G165" t="s">
        <v>827</v>
      </c>
    </row>
    <row r="166" spans="2:7" x14ac:dyDescent="0.3">
      <c r="B166" t="s">
        <v>386</v>
      </c>
      <c r="C166" t="s">
        <v>387</v>
      </c>
      <c r="D166" t="s">
        <v>359</v>
      </c>
      <c r="E166" t="s">
        <v>101</v>
      </c>
      <c r="F166">
        <v>30000</v>
      </c>
      <c r="G166" t="s">
        <v>827</v>
      </c>
    </row>
    <row r="167" spans="2:7" x14ac:dyDescent="0.3">
      <c r="B167" t="s">
        <v>384</v>
      </c>
      <c r="C167" t="s">
        <v>385</v>
      </c>
      <c r="D167" t="s">
        <v>359</v>
      </c>
      <c r="E167" t="s">
        <v>101</v>
      </c>
      <c r="F167">
        <v>30000</v>
      </c>
      <c r="G167" t="s">
        <v>827</v>
      </c>
    </row>
    <row r="168" spans="2:7" x14ac:dyDescent="0.3">
      <c r="B168" t="s">
        <v>382</v>
      </c>
      <c r="C168" t="s">
        <v>383</v>
      </c>
      <c r="D168" t="s">
        <v>359</v>
      </c>
      <c r="E168" t="s">
        <v>101</v>
      </c>
      <c r="F168">
        <v>30000</v>
      </c>
      <c r="G168" t="s">
        <v>827</v>
      </c>
    </row>
    <row r="169" spans="2:7" x14ac:dyDescent="0.3">
      <c r="B169" t="s">
        <v>380</v>
      </c>
      <c r="C169" t="s">
        <v>381</v>
      </c>
      <c r="D169" t="s">
        <v>359</v>
      </c>
      <c r="E169" t="s">
        <v>10</v>
      </c>
      <c r="F169">
        <v>30000</v>
      </c>
      <c r="G169" t="s">
        <v>827</v>
      </c>
    </row>
    <row r="170" spans="2:7" x14ac:dyDescent="0.3">
      <c r="B170" t="s">
        <v>378</v>
      </c>
      <c r="C170" t="s">
        <v>379</v>
      </c>
      <c r="D170" t="s">
        <v>359</v>
      </c>
      <c r="E170" t="s">
        <v>10</v>
      </c>
      <c r="F170">
        <v>30000</v>
      </c>
      <c r="G170" t="s">
        <v>827</v>
      </c>
    </row>
    <row r="171" spans="2:7" x14ac:dyDescent="0.3">
      <c r="B171" t="s">
        <v>376</v>
      </c>
      <c r="C171" t="s">
        <v>377</v>
      </c>
      <c r="D171" t="s">
        <v>359</v>
      </c>
      <c r="E171" t="s">
        <v>10</v>
      </c>
      <c r="F171">
        <v>30000</v>
      </c>
      <c r="G171" t="s">
        <v>827</v>
      </c>
    </row>
    <row r="172" spans="2:7" x14ac:dyDescent="0.3">
      <c r="B172" t="s">
        <v>374</v>
      </c>
      <c r="C172" t="s">
        <v>375</v>
      </c>
      <c r="D172" t="s">
        <v>359</v>
      </c>
      <c r="E172" t="s">
        <v>101</v>
      </c>
      <c r="F172">
        <v>30000</v>
      </c>
      <c r="G172" t="s">
        <v>827</v>
      </c>
    </row>
    <row r="173" spans="2:7" x14ac:dyDescent="0.3">
      <c r="B173" t="s">
        <v>372</v>
      </c>
      <c r="C173" t="s">
        <v>373</v>
      </c>
      <c r="D173" t="s">
        <v>359</v>
      </c>
      <c r="E173" t="s">
        <v>101</v>
      </c>
      <c r="F173">
        <v>30000</v>
      </c>
      <c r="G173" t="s">
        <v>827</v>
      </c>
    </row>
    <row r="174" spans="2:7" x14ac:dyDescent="0.3">
      <c r="B174" t="s">
        <v>370</v>
      </c>
      <c r="C174" t="s">
        <v>371</v>
      </c>
      <c r="D174" t="s">
        <v>359</v>
      </c>
      <c r="E174" t="s">
        <v>101</v>
      </c>
      <c r="F174">
        <v>30000</v>
      </c>
      <c r="G174" t="s">
        <v>827</v>
      </c>
    </row>
    <row r="175" spans="2:7" x14ac:dyDescent="0.3">
      <c r="B175" t="s">
        <v>368</v>
      </c>
      <c r="C175" t="s">
        <v>369</v>
      </c>
      <c r="D175" t="s">
        <v>359</v>
      </c>
      <c r="E175" t="s">
        <v>101</v>
      </c>
      <c r="F175">
        <v>30000</v>
      </c>
      <c r="G175" t="s">
        <v>827</v>
      </c>
    </row>
    <row r="176" spans="2:7" x14ac:dyDescent="0.3">
      <c r="B176" t="s">
        <v>366</v>
      </c>
      <c r="C176" t="s">
        <v>367</v>
      </c>
      <c r="D176" t="s">
        <v>359</v>
      </c>
      <c r="E176" t="s">
        <v>101</v>
      </c>
      <c r="F176">
        <v>30000</v>
      </c>
      <c r="G176" t="s">
        <v>827</v>
      </c>
    </row>
    <row r="177" spans="2:7" x14ac:dyDescent="0.3">
      <c r="B177" t="s">
        <v>364</v>
      </c>
      <c r="C177" t="s">
        <v>365</v>
      </c>
      <c r="D177" t="s">
        <v>359</v>
      </c>
      <c r="E177" t="s">
        <v>101</v>
      </c>
      <c r="F177">
        <v>30000</v>
      </c>
      <c r="G177" t="s">
        <v>827</v>
      </c>
    </row>
    <row r="178" spans="2:7" x14ac:dyDescent="0.3">
      <c r="B178" t="s">
        <v>362</v>
      </c>
      <c r="C178" t="s">
        <v>363</v>
      </c>
      <c r="D178" t="s">
        <v>359</v>
      </c>
      <c r="E178" t="s">
        <v>101</v>
      </c>
      <c r="F178">
        <v>30000</v>
      </c>
      <c r="G178" t="s">
        <v>827</v>
      </c>
    </row>
    <row r="179" spans="2:7" x14ac:dyDescent="0.3">
      <c r="B179" t="s">
        <v>360</v>
      </c>
      <c r="C179" t="s">
        <v>361</v>
      </c>
      <c r="D179" t="s">
        <v>359</v>
      </c>
      <c r="E179" t="s">
        <v>10</v>
      </c>
      <c r="F179">
        <v>30000</v>
      </c>
      <c r="G179" t="s">
        <v>827</v>
      </c>
    </row>
    <row r="180" spans="2:7" x14ac:dyDescent="0.3">
      <c r="B180" t="s">
        <v>357</v>
      </c>
      <c r="C180" t="s">
        <v>358</v>
      </c>
      <c r="D180" t="s">
        <v>359</v>
      </c>
      <c r="E180" t="s">
        <v>101</v>
      </c>
      <c r="F180">
        <v>48000</v>
      </c>
      <c r="G180" t="s">
        <v>827</v>
      </c>
    </row>
    <row r="181" spans="2:7" x14ac:dyDescent="0.3">
      <c r="B181" t="s">
        <v>355</v>
      </c>
      <c r="C181" t="s">
        <v>356</v>
      </c>
      <c r="D181" t="s">
        <v>318</v>
      </c>
      <c r="E181" t="s">
        <v>10</v>
      </c>
      <c r="F181">
        <v>70000</v>
      </c>
      <c r="G181" t="s">
        <v>827</v>
      </c>
    </row>
    <row r="182" spans="2:7" x14ac:dyDescent="0.3">
      <c r="B182" t="s">
        <v>353</v>
      </c>
      <c r="C182" t="s">
        <v>354</v>
      </c>
      <c r="D182" t="s">
        <v>318</v>
      </c>
      <c r="E182" t="s">
        <v>10</v>
      </c>
      <c r="F182">
        <v>59000</v>
      </c>
      <c r="G182" t="s">
        <v>827</v>
      </c>
    </row>
    <row r="183" spans="2:7" x14ac:dyDescent="0.3">
      <c r="B183" t="s">
        <v>351</v>
      </c>
      <c r="C183" t="s">
        <v>352</v>
      </c>
      <c r="D183" t="s">
        <v>318</v>
      </c>
      <c r="E183" t="s">
        <v>10</v>
      </c>
      <c r="F183">
        <v>68000</v>
      </c>
      <c r="G183" t="s">
        <v>827</v>
      </c>
    </row>
    <row r="184" spans="2:7" x14ac:dyDescent="0.3">
      <c r="B184" t="s">
        <v>349</v>
      </c>
      <c r="C184" t="s">
        <v>350</v>
      </c>
      <c r="D184" t="s">
        <v>318</v>
      </c>
      <c r="E184" t="s">
        <v>10</v>
      </c>
      <c r="F184">
        <v>99000</v>
      </c>
      <c r="G184" t="s">
        <v>827</v>
      </c>
    </row>
    <row r="185" spans="2:7" x14ac:dyDescent="0.3">
      <c r="B185" t="s">
        <v>347</v>
      </c>
      <c r="C185" t="s">
        <v>348</v>
      </c>
      <c r="D185" t="s">
        <v>318</v>
      </c>
      <c r="E185" t="s">
        <v>10</v>
      </c>
      <c r="F185">
        <v>48000</v>
      </c>
      <c r="G185" t="s">
        <v>827</v>
      </c>
    </row>
    <row r="186" spans="2:7" x14ac:dyDescent="0.3">
      <c r="B186" t="s">
        <v>345</v>
      </c>
      <c r="C186" t="s">
        <v>346</v>
      </c>
      <c r="D186" t="s">
        <v>318</v>
      </c>
      <c r="E186" t="s">
        <v>10</v>
      </c>
      <c r="F186">
        <v>59000</v>
      </c>
      <c r="G186" t="s">
        <v>827</v>
      </c>
    </row>
    <row r="187" spans="2:7" x14ac:dyDescent="0.3">
      <c r="B187" t="s">
        <v>343</v>
      </c>
      <c r="C187" t="s">
        <v>344</v>
      </c>
      <c r="D187" t="s">
        <v>318</v>
      </c>
      <c r="E187" t="s">
        <v>10</v>
      </c>
      <c r="F187">
        <v>68000</v>
      </c>
      <c r="G187" t="s">
        <v>827</v>
      </c>
    </row>
    <row r="188" spans="2:7" x14ac:dyDescent="0.3">
      <c r="B188" t="s">
        <v>341</v>
      </c>
      <c r="C188" t="s">
        <v>342</v>
      </c>
      <c r="D188" t="s">
        <v>318</v>
      </c>
      <c r="E188" t="s">
        <v>10</v>
      </c>
      <c r="F188">
        <v>148000</v>
      </c>
      <c r="G188" t="s">
        <v>827</v>
      </c>
    </row>
    <row r="189" spans="2:7" x14ac:dyDescent="0.3">
      <c r="B189" t="s">
        <v>339</v>
      </c>
      <c r="C189" t="s">
        <v>340</v>
      </c>
      <c r="D189" t="s">
        <v>318</v>
      </c>
      <c r="E189" t="s">
        <v>10</v>
      </c>
      <c r="F189">
        <v>165000</v>
      </c>
      <c r="G189" t="s">
        <v>827</v>
      </c>
    </row>
    <row r="190" spans="2:7" x14ac:dyDescent="0.3">
      <c r="B190" t="s">
        <v>337</v>
      </c>
      <c r="C190" t="s">
        <v>338</v>
      </c>
      <c r="D190" t="s">
        <v>318</v>
      </c>
      <c r="E190" t="s">
        <v>10</v>
      </c>
      <c r="F190">
        <v>78000</v>
      </c>
      <c r="G190" t="s">
        <v>827</v>
      </c>
    </row>
    <row r="191" spans="2:7" x14ac:dyDescent="0.3">
      <c r="B191" t="s">
        <v>335</v>
      </c>
      <c r="C191" t="s">
        <v>336</v>
      </c>
      <c r="D191" t="s">
        <v>318</v>
      </c>
      <c r="E191" t="s">
        <v>10</v>
      </c>
      <c r="F191">
        <v>50000</v>
      </c>
      <c r="G191" t="s">
        <v>827</v>
      </c>
    </row>
    <row r="192" spans="2:7" x14ac:dyDescent="0.3">
      <c r="B192" t="s">
        <v>333</v>
      </c>
      <c r="C192" t="s">
        <v>334</v>
      </c>
      <c r="D192" t="s">
        <v>318</v>
      </c>
      <c r="E192" t="s">
        <v>10</v>
      </c>
      <c r="F192">
        <v>48000</v>
      </c>
      <c r="G192" t="s">
        <v>827</v>
      </c>
    </row>
    <row r="193" spans="2:7" x14ac:dyDescent="0.3">
      <c r="B193" t="s">
        <v>331</v>
      </c>
      <c r="C193" t="s">
        <v>332</v>
      </c>
      <c r="D193" t="s">
        <v>318</v>
      </c>
      <c r="E193" t="s">
        <v>10</v>
      </c>
      <c r="F193">
        <v>108000</v>
      </c>
      <c r="G193" t="s">
        <v>827</v>
      </c>
    </row>
    <row r="194" spans="2:7" x14ac:dyDescent="0.3">
      <c r="B194" t="s">
        <v>329</v>
      </c>
      <c r="C194" t="s">
        <v>330</v>
      </c>
      <c r="D194" t="s">
        <v>318</v>
      </c>
      <c r="E194" t="s">
        <v>10</v>
      </c>
      <c r="F194">
        <v>87000</v>
      </c>
      <c r="G194" t="s">
        <v>827</v>
      </c>
    </row>
    <row r="195" spans="2:7" x14ac:dyDescent="0.3">
      <c r="B195" t="s">
        <v>327</v>
      </c>
      <c r="C195" t="s">
        <v>328</v>
      </c>
      <c r="D195" t="s">
        <v>318</v>
      </c>
      <c r="E195" t="s">
        <v>10</v>
      </c>
      <c r="F195">
        <v>48000</v>
      </c>
      <c r="G195" t="s">
        <v>827</v>
      </c>
    </row>
    <row r="196" spans="2:7" x14ac:dyDescent="0.3">
      <c r="B196" t="s">
        <v>325</v>
      </c>
      <c r="C196" t="s">
        <v>326</v>
      </c>
      <c r="D196" t="s">
        <v>318</v>
      </c>
      <c r="E196" t="s">
        <v>101</v>
      </c>
      <c r="F196">
        <v>99000</v>
      </c>
      <c r="G196" t="s">
        <v>827</v>
      </c>
    </row>
    <row r="197" spans="2:7" x14ac:dyDescent="0.3">
      <c r="B197" t="s">
        <v>323</v>
      </c>
      <c r="C197" t="s">
        <v>324</v>
      </c>
      <c r="D197" t="s">
        <v>318</v>
      </c>
      <c r="E197" t="s">
        <v>10</v>
      </c>
      <c r="F197">
        <v>48000</v>
      </c>
      <c r="G197" t="s">
        <v>827</v>
      </c>
    </row>
    <row r="198" spans="2:7" x14ac:dyDescent="0.3">
      <c r="B198" t="s">
        <v>321</v>
      </c>
      <c r="C198" t="s">
        <v>322</v>
      </c>
      <c r="D198" t="s">
        <v>318</v>
      </c>
      <c r="E198" t="s">
        <v>101</v>
      </c>
      <c r="F198">
        <v>48000</v>
      </c>
      <c r="G198" t="s">
        <v>827</v>
      </c>
    </row>
    <row r="199" spans="2:7" x14ac:dyDescent="0.3">
      <c r="B199" t="s">
        <v>319</v>
      </c>
      <c r="C199" t="s">
        <v>320</v>
      </c>
      <c r="D199" t="s">
        <v>318</v>
      </c>
      <c r="E199" t="s">
        <v>10</v>
      </c>
      <c r="F199">
        <v>64000</v>
      </c>
      <c r="G199" t="s">
        <v>827</v>
      </c>
    </row>
    <row r="200" spans="2:7" x14ac:dyDescent="0.3">
      <c r="B200" t="s">
        <v>316</v>
      </c>
      <c r="C200" t="s">
        <v>317</v>
      </c>
      <c r="D200" t="s">
        <v>318</v>
      </c>
      <c r="E200" t="s">
        <v>10</v>
      </c>
      <c r="F200">
        <v>120000</v>
      </c>
      <c r="G200" t="s">
        <v>827</v>
      </c>
    </row>
    <row r="201" spans="2:7" x14ac:dyDescent="0.3">
      <c r="B201" t="s">
        <v>314</v>
      </c>
      <c r="C201" t="s">
        <v>315</v>
      </c>
      <c r="D201" t="s">
        <v>9</v>
      </c>
      <c r="E201" t="s">
        <v>101</v>
      </c>
      <c r="F201">
        <v>258000</v>
      </c>
      <c r="G201" t="s">
        <v>827</v>
      </c>
    </row>
    <row r="202" spans="2:7" x14ac:dyDescent="0.3">
      <c r="B202" t="s">
        <v>312</v>
      </c>
      <c r="C202" t="s">
        <v>313</v>
      </c>
      <c r="D202" t="s">
        <v>9</v>
      </c>
      <c r="E202" t="s">
        <v>101</v>
      </c>
      <c r="F202">
        <v>258000</v>
      </c>
      <c r="G202" t="s">
        <v>827</v>
      </c>
    </row>
    <row r="203" spans="2:7" x14ac:dyDescent="0.3">
      <c r="B203" t="s">
        <v>310</v>
      </c>
      <c r="C203" t="s">
        <v>311</v>
      </c>
      <c r="D203" t="s">
        <v>9</v>
      </c>
      <c r="E203" t="s">
        <v>101</v>
      </c>
      <c r="F203">
        <v>150000</v>
      </c>
      <c r="G203" t="s">
        <v>827</v>
      </c>
    </row>
    <row r="204" spans="2:7" x14ac:dyDescent="0.3">
      <c r="B204" t="s">
        <v>308</v>
      </c>
      <c r="C204" t="s">
        <v>309</v>
      </c>
      <c r="D204" t="s">
        <v>9</v>
      </c>
      <c r="E204" t="s">
        <v>101</v>
      </c>
      <c r="F204">
        <v>12000</v>
      </c>
      <c r="G204" t="s">
        <v>827</v>
      </c>
    </row>
    <row r="205" spans="2:7" x14ac:dyDescent="0.3">
      <c r="B205" t="s">
        <v>306</v>
      </c>
      <c r="C205" t="s">
        <v>307</v>
      </c>
      <c r="D205" t="s">
        <v>9</v>
      </c>
      <c r="E205" t="s">
        <v>101</v>
      </c>
      <c r="F205">
        <v>12000</v>
      </c>
      <c r="G205" t="s">
        <v>827</v>
      </c>
    </row>
    <row r="206" spans="2:7" x14ac:dyDescent="0.3">
      <c r="B206" t="s">
        <v>304</v>
      </c>
      <c r="C206" t="s">
        <v>305</v>
      </c>
      <c r="D206" t="s">
        <v>9</v>
      </c>
      <c r="E206" t="s">
        <v>101</v>
      </c>
      <c r="F206">
        <v>12000</v>
      </c>
      <c r="G206" t="s">
        <v>827</v>
      </c>
    </row>
    <row r="207" spans="2:7" x14ac:dyDescent="0.3">
      <c r="B207" t="s">
        <v>302</v>
      </c>
      <c r="C207" t="s">
        <v>303</v>
      </c>
      <c r="D207" t="s">
        <v>9</v>
      </c>
      <c r="E207" t="s">
        <v>101</v>
      </c>
      <c r="F207">
        <v>12000</v>
      </c>
      <c r="G207" t="s">
        <v>827</v>
      </c>
    </row>
    <row r="208" spans="2:7" x14ac:dyDescent="0.3">
      <c r="B208" t="s">
        <v>300</v>
      </c>
      <c r="C208" t="s">
        <v>301</v>
      </c>
      <c r="D208" t="s">
        <v>9</v>
      </c>
      <c r="E208" t="s">
        <v>101</v>
      </c>
      <c r="F208">
        <v>12000</v>
      </c>
      <c r="G208" t="s">
        <v>827</v>
      </c>
    </row>
    <row r="209" spans="2:7" x14ac:dyDescent="0.3">
      <c r="B209" t="s">
        <v>298</v>
      </c>
      <c r="C209" t="s">
        <v>299</v>
      </c>
      <c r="D209" t="s">
        <v>9</v>
      </c>
      <c r="E209" t="s">
        <v>101</v>
      </c>
      <c r="F209">
        <v>12000</v>
      </c>
      <c r="G209" t="s">
        <v>827</v>
      </c>
    </row>
    <row r="210" spans="2:7" x14ac:dyDescent="0.3">
      <c r="B210" t="s">
        <v>296</v>
      </c>
      <c r="C210" t="s">
        <v>297</v>
      </c>
      <c r="D210" t="s">
        <v>9</v>
      </c>
      <c r="E210" t="s">
        <v>101</v>
      </c>
      <c r="F210">
        <v>12000</v>
      </c>
      <c r="G210" t="s">
        <v>827</v>
      </c>
    </row>
    <row r="211" spans="2:7" x14ac:dyDescent="0.3">
      <c r="B211" t="s">
        <v>294</v>
      </c>
      <c r="C211" t="s">
        <v>295</v>
      </c>
      <c r="D211" t="s">
        <v>9</v>
      </c>
      <c r="E211" t="s">
        <v>101</v>
      </c>
      <c r="F211">
        <v>12000</v>
      </c>
      <c r="G211" t="s">
        <v>827</v>
      </c>
    </row>
    <row r="212" spans="2:7" x14ac:dyDescent="0.3">
      <c r="B212" t="s">
        <v>292</v>
      </c>
      <c r="C212" t="s">
        <v>293</v>
      </c>
      <c r="D212" t="s">
        <v>9</v>
      </c>
      <c r="E212" t="s">
        <v>101</v>
      </c>
      <c r="F212">
        <v>12000</v>
      </c>
      <c r="G212" t="s">
        <v>827</v>
      </c>
    </row>
    <row r="213" spans="2:7" x14ac:dyDescent="0.3">
      <c r="B213" t="s">
        <v>290</v>
      </c>
      <c r="C213" t="s">
        <v>291</v>
      </c>
      <c r="D213" t="s">
        <v>9</v>
      </c>
      <c r="E213" t="s">
        <v>101</v>
      </c>
      <c r="F213">
        <v>174000</v>
      </c>
      <c r="G213" t="s">
        <v>827</v>
      </c>
    </row>
    <row r="214" spans="2:7" x14ac:dyDescent="0.3">
      <c r="B214" t="s">
        <v>288</v>
      </c>
      <c r="C214" t="s">
        <v>289</v>
      </c>
      <c r="D214" t="s">
        <v>9</v>
      </c>
      <c r="E214" t="s">
        <v>101</v>
      </c>
      <c r="F214">
        <v>174000</v>
      </c>
      <c r="G214" t="s">
        <v>827</v>
      </c>
    </row>
    <row r="215" spans="2:7" x14ac:dyDescent="0.3">
      <c r="B215" t="s">
        <v>286</v>
      </c>
      <c r="C215" t="s">
        <v>287</v>
      </c>
      <c r="D215" t="s">
        <v>9</v>
      </c>
      <c r="E215" t="s">
        <v>101</v>
      </c>
      <c r="F215">
        <v>66750</v>
      </c>
      <c r="G215" t="s">
        <v>827</v>
      </c>
    </row>
    <row r="216" spans="2:7" x14ac:dyDescent="0.3">
      <c r="B216" t="s">
        <v>284</v>
      </c>
      <c r="C216" t="s">
        <v>285</v>
      </c>
      <c r="D216" t="s">
        <v>9</v>
      </c>
      <c r="E216" t="s">
        <v>101</v>
      </c>
      <c r="F216">
        <v>133500</v>
      </c>
      <c r="G216" t="s">
        <v>827</v>
      </c>
    </row>
    <row r="217" spans="2:7" x14ac:dyDescent="0.3">
      <c r="B217" t="s">
        <v>282</v>
      </c>
      <c r="C217" t="s">
        <v>283</v>
      </c>
      <c r="D217" t="s">
        <v>9</v>
      </c>
      <c r="E217" t="s">
        <v>101</v>
      </c>
      <c r="F217">
        <v>120000</v>
      </c>
      <c r="G217" t="s">
        <v>827</v>
      </c>
    </row>
    <row r="218" spans="2:7" x14ac:dyDescent="0.3">
      <c r="B218" t="s">
        <v>280</v>
      </c>
      <c r="C218" t="s">
        <v>281</v>
      </c>
      <c r="D218" t="s">
        <v>9</v>
      </c>
      <c r="E218" t="s">
        <v>101</v>
      </c>
      <c r="F218">
        <v>120000</v>
      </c>
      <c r="G218" t="s">
        <v>827</v>
      </c>
    </row>
    <row r="219" spans="2:7" x14ac:dyDescent="0.3">
      <c r="B219" t="s">
        <v>278</v>
      </c>
      <c r="C219" t="s">
        <v>279</v>
      </c>
      <c r="D219" t="s">
        <v>9</v>
      </c>
      <c r="E219" t="s">
        <v>101</v>
      </c>
      <c r="F219">
        <v>120000</v>
      </c>
      <c r="G219" t="s">
        <v>827</v>
      </c>
    </row>
    <row r="220" spans="2:7" x14ac:dyDescent="0.3">
      <c r="B220" t="s">
        <v>276</v>
      </c>
      <c r="C220" t="s">
        <v>277</v>
      </c>
      <c r="D220" t="s">
        <v>9</v>
      </c>
      <c r="E220" t="s">
        <v>101</v>
      </c>
      <c r="F220">
        <v>120000</v>
      </c>
      <c r="G220" t="s">
        <v>827</v>
      </c>
    </row>
    <row r="221" spans="2:7" x14ac:dyDescent="0.3">
      <c r="B221" t="s">
        <v>274</v>
      </c>
      <c r="C221" t="s">
        <v>275</v>
      </c>
      <c r="D221" t="s">
        <v>9</v>
      </c>
      <c r="E221" t="s">
        <v>101</v>
      </c>
      <c r="F221">
        <v>180000</v>
      </c>
      <c r="G221" t="s">
        <v>827</v>
      </c>
    </row>
    <row r="222" spans="2:7" x14ac:dyDescent="0.3">
      <c r="B222" t="s">
        <v>272</v>
      </c>
      <c r="C222" t="s">
        <v>273</v>
      </c>
      <c r="D222" t="s">
        <v>9</v>
      </c>
      <c r="E222" t="s">
        <v>101</v>
      </c>
      <c r="F222">
        <v>120000</v>
      </c>
      <c r="G222" t="s">
        <v>827</v>
      </c>
    </row>
    <row r="223" spans="2:7" x14ac:dyDescent="0.3">
      <c r="B223" t="s">
        <v>270</v>
      </c>
      <c r="C223" t="s">
        <v>271</v>
      </c>
      <c r="D223" t="s">
        <v>9</v>
      </c>
      <c r="E223" t="s">
        <v>101</v>
      </c>
      <c r="F223">
        <v>120000</v>
      </c>
      <c r="G223" t="s">
        <v>827</v>
      </c>
    </row>
    <row r="224" spans="2:7" x14ac:dyDescent="0.3">
      <c r="B224" t="s">
        <v>268</v>
      </c>
      <c r="C224" t="s">
        <v>269</v>
      </c>
      <c r="D224" t="s">
        <v>9</v>
      </c>
      <c r="E224" t="s">
        <v>101</v>
      </c>
      <c r="F224">
        <v>220000</v>
      </c>
      <c r="G224" t="s">
        <v>827</v>
      </c>
    </row>
    <row r="225" spans="2:7" x14ac:dyDescent="0.3">
      <c r="B225" t="s">
        <v>266</v>
      </c>
      <c r="C225" t="s">
        <v>267</v>
      </c>
      <c r="D225" t="s">
        <v>9</v>
      </c>
      <c r="E225" t="s">
        <v>101</v>
      </c>
      <c r="F225">
        <v>220000</v>
      </c>
      <c r="G225" t="s">
        <v>827</v>
      </c>
    </row>
    <row r="226" spans="2:7" x14ac:dyDescent="0.3">
      <c r="B226" t="s">
        <v>264</v>
      </c>
      <c r="C226" t="s">
        <v>265</v>
      </c>
      <c r="D226" t="s">
        <v>9</v>
      </c>
      <c r="E226" t="s">
        <v>101</v>
      </c>
      <c r="F226">
        <v>150000</v>
      </c>
      <c r="G226" t="s">
        <v>827</v>
      </c>
    </row>
    <row r="227" spans="2:7" x14ac:dyDescent="0.3">
      <c r="B227" t="s">
        <v>262</v>
      </c>
      <c r="C227" t="s">
        <v>263</v>
      </c>
      <c r="D227" t="s">
        <v>9</v>
      </c>
      <c r="E227" t="s">
        <v>101</v>
      </c>
      <c r="F227">
        <v>120000</v>
      </c>
      <c r="G227" t="s">
        <v>827</v>
      </c>
    </row>
    <row r="228" spans="2:7" x14ac:dyDescent="0.3">
      <c r="B228" t="s">
        <v>260</v>
      </c>
      <c r="C228" t="s">
        <v>261</v>
      </c>
      <c r="D228" t="s">
        <v>9</v>
      </c>
      <c r="E228" t="s">
        <v>101</v>
      </c>
      <c r="F228">
        <v>158000</v>
      </c>
      <c r="G228" t="s">
        <v>827</v>
      </c>
    </row>
    <row r="229" spans="2:7" x14ac:dyDescent="0.3">
      <c r="B229" t="s">
        <v>258</v>
      </c>
      <c r="C229" t="s">
        <v>259</v>
      </c>
      <c r="D229" t="s">
        <v>9</v>
      </c>
      <c r="E229" t="s">
        <v>101</v>
      </c>
      <c r="F229">
        <v>48000</v>
      </c>
      <c r="G229" t="s">
        <v>827</v>
      </c>
    </row>
    <row r="230" spans="2:7" x14ac:dyDescent="0.3">
      <c r="B230" t="s">
        <v>256</v>
      </c>
      <c r="C230" t="s">
        <v>257</v>
      </c>
      <c r="D230" t="s">
        <v>9</v>
      </c>
      <c r="E230" t="s">
        <v>101</v>
      </c>
      <c r="F230">
        <v>59000</v>
      </c>
      <c r="G230" t="s">
        <v>827</v>
      </c>
    </row>
    <row r="231" spans="2:7" x14ac:dyDescent="0.3">
      <c r="B231" t="s">
        <v>254</v>
      </c>
      <c r="C231" t="s">
        <v>255</v>
      </c>
      <c r="D231" t="s">
        <v>9</v>
      </c>
      <c r="E231" t="s">
        <v>101</v>
      </c>
      <c r="F231">
        <v>68000</v>
      </c>
      <c r="G231" t="s">
        <v>827</v>
      </c>
    </row>
    <row r="232" spans="2:7" x14ac:dyDescent="0.3">
      <c r="B232" t="s">
        <v>252</v>
      </c>
      <c r="C232" t="s">
        <v>253</v>
      </c>
      <c r="D232" t="s">
        <v>9</v>
      </c>
      <c r="E232" t="s">
        <v>101</v>
      </c>
      <c r="F232">
        <v>48000</v>
      </c>
      <c r="G232" t="s">
        <v>827</v>
      </c>
    </row>
    <row r="233" spans="2:7" x14ac:dyDescent="0.3">
      <c r="B233" t="s">
        <v>248</v>
      </c>
      <c r="C233" t="s">
        <v>249</v>
      </c>
      <c r="D233" t="s">
        <v>9</v>
      </c>
      <c r="E233" t="s">
        <v>101</v>
      </c>
      <c r="F233">
        <v>65000</v>
      </c>
      <c r="G233" t="s">
        <v>827</v>
      </c>
    </row>
    <row r="234" spans="2:7" x14ac:dyDescent="0.3">
      <c r="B234" t="s">
        <v>250</v>
      </c>
      <c r="C234" t="s">
        <v>251</v>
      </c>
      <c r="D234" t="s">
        <v>9</v>
      </c>
      <c r="E234" t="s">
        <v>101</v>
      </c>
      <c r="F234">
        <v>60000</v>
      </c>
      <c r="G234" t="s">
        <v>827</v>
      </c>
    </row>
    <row r="235" spans="2:7" x14ac:dyDescent="0.3">
      <c r="B235" t="s">
        <v>246</v>
      </c>
      <c r="C235" t="s">
        <v>247</v>
      </c>
      <c r="D235" t="s">
        <v>9</v>
      </c>
      <c r="E235" t="s">
        <v>101</v>
      </c>
      <c r="F235">
        <v>59000</v>
      </c>
      <c r="G235" t="s">
        <v>827</v>
      </c>
    </row>
    <row r="236" spans="2:7" x14ac:dyDescent="0.3">
      <c r="B236" t="s">
        <v>244</v>
      </c>
      <c r="C236" t="s">
        <v>245</v>
      </c>
      <c r="D236" t="s">
        <v>9</v>
      </c>
      <c r="E236" t="s">
        <v>101</v>
      </c>
      <c r="F236">
        <v>444000</v>
      </c>
      <c r="G236" t="s">
        <v>827</v>
      </c>
    </row>
    <row r="237" spans="2:7" x14ac:dyDescent="0.3">
      <c r="B237" t="s">
        <v>242</v>
      </c>
      <c r="C237" t="s">
        <v>243</v>
      </c>
      <c r="D237" t="s">
        <v>9</v>
      </c>
      <c r="E237" t="s">
        <v>101</v>
      </c>
      <c r="F237">
        <v>148000</v>
      </c>
      <c r="G237" t="s">
        <v>827</v>
      </c>
    </row>
    <row r="238" spans="2:7" x14ac:dyDescent="0.3">
      <c r="B238" t="s">
        <v>240</v>
      </c>
      <c r="C238" t="s">
        <v>241</v>
      </c>
      <c r="D238" t="s">
        <v>9</v>
      </c>
      <c r="E238" t="s">
        <v>101</v>
      </c>
      <c r="F238">
        <v>444000</v>
      </c>
      <c r="G238" t="s">
        <v>827</v>
      </c>
    </row>
    <row r="239" spans="2:7" x14ac:dyDescent="0.3">
      <c r="B239" t="s">
        <v>238</v>
      </c>
      <c r="C239" t="s">
        <v>239</v>
      </c>
      <c r="D239" t="s">
        <v>9</v>
      </c>
      <c r="E239" t="s">
        <v>101</v>
      </c>
      <c r="F239">
        <v>888000</v>
      </c>
      <c r="G239" t="s">
        <v>827</v>
      </c>
    </row>
    <row r="240" spans="2:7" x14ac:dyDescent="0.3">
      <c r="B240" t="s">
        <v>236</v>
      </c>
      <c r="C240" t="s">
        <v>237</v>
      </c>
      <c r="D240" t="s">
        <v>9</v>
      </c>
      <c r="E240" t="s">
        <v>101</v>
      </c>
      <c r="F240">
        <v>165000</v>
      </c>
      <c r="G240" t="s">
        <v>827</v>
      </c>
    </row>
    <row r="241" spans="2:7" x14ac:dyDescent="0.3">
      <c r="B241" t="s">
        <v>234</v>
      </c>
      <c r="C241" t="s">
        <v>235</v>
      </c>
      <c r="D241" t="s">
        <v>9</v>
      </c>
      <c r="E241" t="s">
        <v>101</v>
      </c>
      <c r="F241">
        <v>165000</v>
      </c>
      <c r="G241" t="s">
        <v>827</v>
      </c>
    </row>
    <row r="242" spans="2:7" x14ac:dyDescent="0.3">
      <c r="B242" t="s">
        <v>232</v>
      </c>
      <c r="C242" t="s">
        <v>233</v>
      </c>
      <c r="D242" t="s">
        <v>9</v>
      </c>
      <c r="E242" t="s">
        <v>101</v>
      </c>
      <c r="F242">
        <v>165000</v>
      </c>
      <c r="G242" t="s">
        <v>827</v>
      </c>
    </row>
    <row r="243" spans="2:7" x14ac:dyDescent="0.3">
      <c r="B243" t="s">
        <v>230</v>
      </c>
      <c r="C243" t="s">
        <v>231</v>
      </c>
      <c r="D243" t="s">
        <v>9</v>
      </c>
      <c r="E243" t="s">
        <v>101</v>
      </c>
      <c r="F243">
        <v>165000</v>
      </c>
      <c r="G243" t="s">
        <v>827</v>
      </c>
    </row>
    <row r="244" spans="2:7" x14ac:dyDescent="0.3">
      <c r="B244" t="s">
        <v>228</v>
      </c>
      <c r="C244" t="s">
        <v>229</v>
      </c>
      <c r="D244" t="s">
        <v>9</v>
      </c>
      <c r="E244" t="s">
        <v>101</v>
      </c>
      <c r="F244">
        <v>165000</v>
      </c>
      <c r="G244" t="s">
        <v>827</v>
      </c>
    </row>
    <row r="245" spans="2:7" x14ac:dyDescent="0.3">
      <c r="B245" t="s">
        <v>226</v>
      </c>
      <c r="C245" t="s">
        <v>227</v>
      </c>
      <c r="D245" t="s">
        <v>9</v>
      </c>
      <c r="E245" t="s">
        <v>101</v>
      </c>
      <c r="F245">
        <v>165000</v>
      </c>
      <c r="G245" t="s">
        <v>827</v>
      </c>
    </row>
    <row r="246" spans="2:7" x14ac:dyDescent="0.3">
      <c r="B246" t="s">
        <v>224</v>
      </c>
      <c r="C246" t="s">
        <v>225</v>
      </c>
      <c r="D246" t="s">
        <v>9</v>
      </c>
      <c r="E246" t="s">
        <v>101</v>
      </c>
      <c r="F246">
        <v>165000</v>
      </c>
      <c r="G246" t="s">
        <v>827</v>
      </c>
    </row>
    <row r="247" spans="2:7" x14ac:dyDescent="0.3">
      <c r="B247" t="s">
        <v>222</v>
      </c>
      <c r="C247" t="s">
        <v>223</v>
      </c>
      <c r="D247" t="s">
        <v>9</v>
      </c>
      <c r="E247" t="s">
        <v>101</v>
      </c>
      <c r="F247">
        <v>126000</v>
      </c>
      <c r="G247" t="s">
        <v>827</v>
      </c>
    </row>
    <row r="248" spans="2:7" x14ac:dyDescent="0.3">
      <c r="B248" t="s">
        <v>218</v>
      </c>
      <c r="C248" t="s">
        <v>219</v>
      </c>
      <c r="D248" t="s">
        <v>9</v>
      </c>
      <c r="E248" t="s">
        <v>101</v>
      </c>
      <c r="F248">
        <v>80000</v>
      </c>
      <c r="G248" t="s">
        <v>827</v>
      </c>
    </row>
    <row r="249" spans="2:7" x14ac:dyDescent="0.3">
      <c r="B249" t="s">
        <v>220</v>
      </c>
      <c r="C249" t="s">
        <v>221</v>
      </c>
      <c r="D249" t="s">
        <v>9</v>
      </c>
      <c r="E249" t="s">
        <v>101</v>
      </c>
      <c r="F249">
        <v>80000</v>
      </c>
      <c r="G249" t="s">
        <v>827</v>
      </c>
    </row>
    <row r="250" spans="2:7" x14ac:dyDescent="0.3">
      <c r="B250" t="s">
        <v>212</v>
      </c>
      <c r="C250" t="s">
        <v>213</v>
      </c>
      <c r="D250" t="s">
        <v>9</v>
      </c>
      <c r="E250" t="s">
        <v>101</v>
      </c>
      <c r="F250">
        <v>48000</v>
      </c>
      <c r="G250" t="s">
        <v>827</v>
      </c>
    </row>
    <row r="251" spans="2:7" x14ac:dyDescent="0.3">
      <c r="B251" t="s">
        <v>210</v>
      </c>
      <c r="C251" t="s">
        <v>211</v>
      </c>
      <c r="D251" t="s">
        <v>9</v>
      </c>
      <c r="E251" t="s">
        <v>101</v>
      </c>
      <c r="F251">
        <v>108000</v>
      </c>
      <c r="G251" t="s">
        <v>827</v>
      </c>
    </row>
    <row r="252" spans="2:7" x14ac:dyDescent="0.3">
      <c r="B252" t="s">
        <v>216</v>
      </c>
      <c r="C252" t="s">
        <v>217</v>
      </c>
      <c r="D252" t="s">
        <v>9</v>
      </c>
      <c r="E252" t="s">
        <v>101</v>
      </c>
      <c r="F252">
        <v>108000</v>
      </c>
      <c r="G252" t="s">
        <v>827</v>
      </c>
    </row>
    <row r="253" spans="2:7" x14ac:dyDescent="0.3">
      <c r="B253" t="s">
        <v>214</v>
      </c>
      <c r="C253" t="s">
        <v>215</v>
      </c>
      <c r="D253" t="s">
        <v>9</v>
      </c>
      <c r="E253" t="s">
        <v>101</v>
      </c>
      <c r="F253">
        <v>108000</v>
      </c>
      <c r="G253" t="s">
        <v>827</v>
      </c>
    </row>
    <row r="254" spans="2:7" x14ac:dyDescent="0.3">
      <c r="B254" t="s">
        <v>208</v>
      </c>
      <c r="C254" t="s">
        <v>209</v>
      </c>
      <c r="D254" t="s">
        <v>9</v>
      </c>
      <c r="E254" t="s">
        <v>101</v>
      </c>
      <c r="F254">
        <v>108000</v>
      </c>
      <c r="G254" t="s">
        <v>827</v>
      </c>
    </row>
    <row r="255" spans="2:7" x14ac:dyDescent="0.3">
      <c r="B255" t="s">
        <v>206</v>
      </c>
      <c r="C255" t="s">
        <v>207</v>
      </c>
      <c r="D255" t="s">
        <v>9</v>
      </c>
      <c r="E255" t="s">
        <v>101</v>
      </c>
      <c r="F255">
        <v>87000</v>
      </c>
      <c r="G255" t="s">
        <v>827</v>
      </c>
    </row>
    <row r="256" spans="2:7" x14ac:dyDescent="0.3">
      <c r="B256" t="s">
        <v>204</v>
      </c>
      <c r="C256" t="s">
        <v>205</v>
      </c>
      <c r="D256" t="s">
        <v>9</v>
      </c>
      <c r="E256" t="s">
        <v>101</v>
      </c>
      <c r="F256">
        <v>87000</v>
      </c>
      <c r="G256" t="s">
        <v>827</v>
      </c>
    </row>
    <row r="257" spans="2:7" x14ac:dyDescent="0.3">
      <c r="B257" t="s">
        <v>202</v>
      </c>
      <c r="C257" t="s">
        <v>203</v>
      </c>
      <c r="D257" t="s">
        <v>9</v>
      </c>
      <c r="E257" t="s">
        <v>101</v>
      </c>
      <c r="F257">
        <v>87000</v>
      </c>
      <c r="G257" t="s">
        <v>827</v>
      </c>
    </row>
    <row r="258" spans="2:7" x14ac:dyDescent="0.3">
      <c r="B258" t="s">
        <v>200</v>
      </c>
      <c r="C258" t="s">
        <v>201</v>
      </c>
      <c r="D258" t="s">
        <v>9</v>
      </c>
      <c r="E258" t="s">
        <v>101</v>
      </c>
      <c r="F258">
        <v>48000</v>
      </c>
      <c r="G258" t="s">
        <v>827</v>
      </c>
    </row>
    <row r="259" spans="2:7" x14ac:dyDescent="0.3">
      <c r="B259" t="s">
        <v>198</v>
      </c>
      <c r="C259" t="s">
        <v>199</v>
      </c>
      <c r="D259" t="s">
        <v>9</v>
      </c>
      <c r="E259" t="s">
        <v>101</v>
      </c>
      <c r="F259">
        <v>48000</v>
      </c>
      <c r="G259" t="s">
        <v>827</v>
      </c>
    </row>
    <row r="260" spans="2:7" x14ac:dyDescent="0.3">
      <c r="B260" t="s">
        <v>196</v>
      </c>
      <c r="C260" t="s">
        <v>197</v>
      </c>
      <c r="D260" t="s">
        <v>9</v>
      </c>
      <c r="E260" t="s">
        <v>101</v>
      </c>
      <c r="F260">
        <v>123000</v>
      </c>
      <c r="G260" t="s">
        <v>827</v>
      </c>
    </row>
    <row r="261" spans="2:7" x14ac:dyDescent="0.3">
      <c r="B261" t="s">
        <v>194</v>
      </c>
      <c r="C261" t="s">
        <v>195</v>
      </c>
      <c r="D261" t="s">
        <v>9</v>
      </c>
      <c r="E261" t="s">
        <v>101</v>
      </c>
      <c r="F261">
        <v>120000</v>
      </c>
      <c r="G261" t="s">
        <v>827</v>
      </c>
    </row>
    <row r="262" spans="2:7" x14ac:dyDescent="0.3">
      <c r="B262" t="s">
        <v>192</v>
      </c>
      <c r="C262" t="s">
        <v>193</v>
      </c>
      <c r="D262" t="s">
        <v>9</v>
      </c>
      <c r="E262" t="s">
        <v>101</v>
      </c>
      <c r="F262">
        <v>120000</v>
      </c>
      <c r="G262" t="s">
        <v>827</v>
      </c>
    </row>
    <row r="263" spans="2:7" x14ac:dyDescent="0.3">
      <c r="B263" t="s">
        <v>190</v>
      </c>
      <c r="C263" t="s">
        <v>191</v>
      </c>
      <c r="D263" t="s">
        <v>9</v>
      </c>
      <c r="E263" t="s">
        <v>101</v>
      </c>
      <c r="F263">
        <v>120000</v>
      </c>
      <c r="G263" t="s">
        <v>827</v>
      </c>
    </row>
    <row r="264" spans="2:7" x14ac:dyDescent="0.3">
      <c r="B264" t="s">
        <v>188</v>
      </c>
      <c r="C264" t="s">
        <v>189</v>
      </c>
      <c r="D264" t="s">
        <v>9</v>
      </c>
      <c r="E264" t="s">
        <v>101</v>
      </c>
      <c r="F264">
        <v>123000</v>
      </c>
      <c r="G264" t="s">
        <v>827</v>
      </c>
    </row>
    <row r="265" spans="2:7" x14ac:dyDescent="0.3">
      <c r="B265" t="s">
        <v>186</v>
      </c>
      <c r="C265" t="s">
        <v>187</v>
      </c>
      <c r="D265" t="s">
        <v>9</v>
      </c>
      <c r="E265" t="s">
        <v>101</v>
      </c>
      <c r="F265">
        <v>123000</v>
      </c>
      <c r="G265" t="s">
        <v>827</v>
      </c>
    </row>
    <row r="266" spans="2:7" x14ac:dyDescent="0.3">
      <c r="B266" t="s">
        <v>184</v>
      </c>
      <c r="C266" t="s">
        <v>185</v>
      </c>
      <c r="D266" t="s">
        <v>9</v>
      </c>
      <c r="E266" t="s">
        <v>101</v>
      </c>
      <c r="F266">
        <v>123000</v>
      </c>
      <c r="G266" t="s">
        <v>827</v>
      </c>
    </row>
    <row r="267" spans="2:7" x14ac:dyDescent="0.3">
      <c r="B267" t="s">
        <v>182</v>
      </c>
      <c r="C267" t="s">
        <v>183</v>
      </c>
      <c r="D267" t="s">
        <v>9</v>
      </c>
      <c r="E267" t="s">
        <v>101</v>
      </c>
      <c r="F267">
        <v>123000</v>
      </c>
      <c r="G267" t="s">
        <v>827</v>
      </c>
    </row>
    <row r="268" spans="2:7" x14ac:dyDescent="0.3">
      <c r="B268" t="s">
        <v>180</v>
      </c>
      <c r="C268" t="s">
        <v>181</v>
      </c>
      <c r="D268" t="s">
        <v>9</v>
      </c>
      <c r="E268" t="s">
        <v>101</v>
      </c>
      <c r="F268">
        <v>229000</v>
      </c>
      <c r="G268" t="s">
        <v>827</v>
      </c>
    </row>
    <row r="269" spans="2:7" x14ac:dyDescent="0.3">
      <c r="B269" t="s">
        <v>178</v>
      </c>
      <c r="C269" t="s">
        <v>179</v>
      </c>
      <c r="D269" t="s">
        <v>9</v>
      </c>
      <c r="E269" t="s">
        <v>101</v>
      </c>
      <c r="F269">
        <v>229000</v>
      </c>
      <c r="G269" t="s">
        <v>827</v>
      </c>
    </row>
    <row r="270" spans="2:7" x14ac:dyDescent="0.3">
      <c r="B270" t="s">
        <v>176</v>
      </c>
      <c r="C270" t="s">
        <v>177</v>
      </c>
      <c r="D270" t="s">
        <v>9</v>
      </c>
      <c r="E270" t="s">
        <v>101</v>
      </c>
      <c r="F270">
        <v>229000</v>
      </c>
      <c r="G270" t="s">
        <v>827</v>
      </c>
    </row>
    <row r="271" spans="2:7" x14ac:dyDescent="0.3">
      <c r="B271" t="s">
        <v>174</v>
      </c>
      <c r="C271" t="s">
        <v>175</v>
      </c>
      <c r="D271" t="s">
        <v>9</v>
      </c>
      <c r="E271" t="s">
        <v>101</v>
      </c>
      <c r="F271">
        <v>79000</v>
      </c>
      <c r="G271" t="s">
        <v>827</v>
      </c>
    </row>
    <row r="272" spans="2:7" x14ac:dyDescent="0.3">
      <c r="B272" t="s">
        <v>172</v>
      </c>
      <c r="C272" t="s">
        <v>173</v>
      </c>
      <c r="D272" t="s">
        <v>9</v>
      </c>
      <c r="E272" t="s">
        <v>101</v>
      </c>
      <c r="F272">
        <v>79000</v>
      </c>
      <c r="G272" t="s">
        <v>827</v>
      </c>
    </row>
    <row r="273" spans="2:7" x14ac:dyDescent="0.3">
      <c r="B273" t="s">
        <v>170</v>
      </c>
      <c r="C273" t="s">
        <v>171</v>
      </c>
      <c r="D273" t="s">
        <v>9</v>
      </c>
      <c r="E273" t="s">
        <v>101</v>
      </c>
      <c r="F273">
        <v>96000</v>
      </c>
      <c r="G273" t="s">
        <v>827</v>
      </c>
    </row>
    <row r="274" spans="2:7" x14ac:dyDescent="0.3">
      <c r="B274" t="s">
        <v>168</v>
      </c>
      <c r="C274" t="s">
        <v>169</v>
      </c>
      <c r="D274" t="s">
        <v>9</v>
      </c>
      <c r="E274" t="s">
        <v>101</v>
      </c>
      <c r="F274">
        <v>96000</v>
      </c>
      <c r="G274" t="s">
        <v>827</v>
      </c>
    </row>
    <row r="275" spans="2:7" x14ac:dyDescent="0.3">
      <c r="B275" t="s">
        <v>166</v>
      </c>
      <c r="C275" t="s">
        <v>167</v>
      </c>
      <c r="D275" t="s">
        <v>9</v>
      </c>
      <c r="E275" t="s">
        <v>101</v>
      </c>
      <c r="F275">
        <v>96000</v>
      </c>
      <c r="G275" t="s">
        <v>827</v>
      </c>
    </row>
    <row r="276" spans="2:7" x14ac:dyDescent="0.3">
      <c r="B276" t="s">
        <v>164</v>
      </c>
      <c r="C276" t="s">
        <v>165</v>
      </c>
      <c r="D276" t="s">
        <v>9</v>
      </c>
      <c r="E276" t="s">
        <v>101</v>
      </c>
      <c r="F276">
        <v>29975</v>
      </c>
      <c r="G276" t="s">
        <v>827</v>
      </c>
    </row>
    <row r="277" spans="2:7" x14ac:dyDescent="0.3">
      <c r="B277" t="s">
        <v>162</v>
      </c>
      <c r="C277" t="s">
        <v>163</v>
      </c>
      <c r="D277" t="s">
        <v>9</v>
      </c>
      <c r="E277" t="s">
        <v>101</v>
      </c>
      <c r="F277">
        <v>96000</v>
      </c>
      <c r="G277" t="s">
        <v>827</v>
      </c>
    </row>
    <row r="278" spans="2:7" x14ac:dyDescent="0.3">
      <c r="B278" t="s">
        <v>160</v>
      </c>
      <c r="C278" t="s">
        <v>161</v>
      </c>
      <c r="D278" t="s">
        <v>9</v>
      </c>
      <c r="E278" t="s">
        <v>101</v>
      </c>
      <c r="F278">
        <v>96000</v>
      </c>
      <c r="G278" t="s">
        <v>827</v>
      </c>
    </row>
    <row r="279" spans="2:7" x14ac:dyDescent="0.3">
      <c r="B279" t="s">
        <v>158</v>
      </c>
      <c r="C279" t="s">
        <v>159</v>
      </c>
      <c r="D279" t="s">
        <v>9</v>
      </c>
      <c r="E279" t="s">
        <v>101</v>
      </c>
      <c r="F279">
        <v>96000</v>
      </c>
      <c r="G279" t="s">
        <v>827</v>
      </c>
    </row>
    <row r="280" spans="2:7" x14ac:dyDescent="0.3">
      <c r="B280" t="s">
        <v>156</v>
      </c>
      <c r="C280" t="s">
        <v>157</v>
      </c>
      <c r="D280" t="s">
        <v>9</v>
      </c>
      <c r="E280" t="s">
        <v>101</v>
      </c>
      <c r="F280">
        <v>96000</v>
      </c>
      <c r="G280" t="s">
        <v>827</v>
      </c>
    </row>
    <row r="281" spans="2:7" x14ac:dyDescent="0.3">
      <c r="B281" t="s">
        <v>154</v>
      </c>
      <c r="C281" t="s">
        <v>155</v>
      </c>
      <c r="D281" t="s">
        <v>9</v>
      </c>
      <c r="E281" t="s">
        <v>101</v>
      </c>
      <c r="F281">
        <v>96000</v>
      </c>
      <c r="G281" t="s">
        <v>827</v>
      </c>
    </row>
    <row r="282" spans="2:7" x14ac:dyDescent="0.3">
      <c r="B282" t="s">
        <v>152</v>
      </c>
      <c r="C282" t="s">
        <v>153</v>
      </c>
      <c r="D282" t="s">
        <v>9</v>
      </c>
      <c r="E282" t="s">
        <v>101</v>
      </c>
      <c r="F282">
        <v>96000</v>
      </c>
      <c r="G282" t="s">
        <v>827</v>
      </c>
    </row>
    <row r="283" spans="2:7" x14ac:dyDescent="0.3">
      <c r="B283" t="s">
        <v>150</v>
      </c>
      <c r="C283" t="s">
        <v>151</v>
      </c>
      <c r="D283" t="s">
        <v>9</v>
      </c>
      <c r="E283" t="s">
        <v>101</v>
      </c>
      <c r="F283">
        <v>96000</v>
      </c>
      <c r="G283" t="s">
        <v>827</v>
      </c>
    </row>
    <row r="284" spans="2:7" x14ac:dyDescent="0.3">
      <c r="B284" t="s">
        <v>148</v>
      </c>
      <c r="C284" t="s">
        <v>149</v>
      </c>
      <c r="D284" t="s">
        <v>9</v>
      </c>
      <c r="E284" t="s">
        <v>101</v>
      </c>
      <c r="F284">
        <v>96000</v>
      </c>
      <c r="G284" t="s">
        <v>827</v>
      </c>
    </row>
    <row r="285" spans="2:7" x14ac:dyDescent="0.3">
      <c r="B285" t="s">
        <v>146</v>
      </c>
      <c r="C285" t="s">
        <v>147</v>
      </c>
      <c r="D285" t="s">
        <v>9</v>
      </c>
      <c r="E285" t="s">
        <v>101</v>
      </c>
      <c r="F285">
        <v>96000</v>
      </c>
      <c r="G285" t="s">
        <v>827</v>
      </c>
    </row>
    <row r="286" spans="2:7" x14ac:dyDescent="0.3">
      <c r="B286" t="s">
        <v>144</v>
      </c>
      <c r="C286" t="s">
        <v>145</v>
      </c>
      <c r="D286" t="s">
        <v>9</v>
      </c>
      <c r="E286" t="s">
        <v>101</v>
      </c>
      <c r="F286">
        <v>96000</v>
      </c>
      <c r="G286" t="s">
        <v>827</v>
      </c>
    </row>
    <row r="287" spans="2:7" x14ac:dyDescent="0.3">
      <c r="B287" t="s">
        <v>142</v>
      </c>
      <c r="C287" t="s">
        <v>143</v>
      </c>
      <c r="D287" t="s">
        <v>9</v>
      </c>
      <c r="E287" t="s">
        <v>101</v>
      </c>
      <c r="F287">
        <v>96000</v>
      </c>
      <c r="G287" t="s">
        <v>827</v>
      </c>
    </row>
    <row r="288" spans="2:7" x14ac:dyDescent="0.3">
      <c r="B288" t="s">
        <v>140</v>
      </c>
      <c r="C288" t="s">
        <v>141</v>
      </c>
      <c r="D288" t="s">
        <v>9</v>
      </c>
      <c r="E288" t="s">
        <v>101</v>
      </c>
      <c r="F288">
        <v>96000</v>
      </c>
      <c r="G288" t="s">
        <v>827</v>
      </c>
    </row>
    <row r="289" spans="2:7" x14ac:dyDescent="0.3">
      <c r="B289" t="s">
        <v>138</v>
      </c>
      <c r="C289" t="s">
        <v>139</v>
      </c>
      <c r="D289" t="s">
        <v>9</v>
      </c>
      <c r="E289" t="s">
        <v>101</v>
      </c>
      <c r="F289">
        <v>96000</v>
      </c>
      <c r="G289" t="s">
        <v>827</v>
      </c>
    </row>
    <row r="290" spans="2:7" x14ac:dyDescent="0.3">
      <c r="B290" t="s">
        <v>136</v>
      </c>
      <c r="C290" t="s">
        <v>137</v>
      </c>
      <c r="D290" t="s">
        <v>9</v>
      </c>
      <c r="E290" t="s">
        <v>101</v>
      </c>
      <c r="F290">
        <v>96000</v>
      </c>
      <c r="G290" t="s">
        <v>827</v>
      </c>
    </row>
    <row r="291" spans="2:7" x14ac:dyDescent="0.3">
      <c r="B291" t="s">
        <v>134</v>
      </c>
      <c r="C291" t="s">
        <v>135</v>
      </c>
      <c r="D291" t="s">
        <v>9</v>
      </c>
      <c r="E291" t="s">
        <v>101</v>
      </c>
      <c r="F291">
        <v>96000</v>
      </c>
      <c r="G291" t="s">
        <v>827</v>
      </c>
    </row>
    <row r="292" spans="2:7" x14ac:dyDescent="0.3">
      <c r="B292" t="s">
        <v>132</v>
      </c>
      <c r="C292" t="s">
        <v>133</v>
      </c>
      <c r="D292" t="s">
        <v>9</v>
      </c>
      <c r="E292" t="s">
        <v>101</v>
      </c>
      <c r="F292">
        <v>120000</v>
      </c>
      <c r="G292" t="s">
        <v>827</v>
      </c>
    </row>
    <row r="293" spans="2:7" x14ac:dyDescent="0.3">
      <c r="B293" t="s">
        <v>130</v>
      </c>
      <c r="C293" t="s">
        <v>131</v>
      </c>
      <c r="D293" t="s">
        <v>9</v>
      </c>
      <c r="E293" t="s">
        <v>101</v>
      </c>
      <c r="F293">
        <v>120000</v>
      </c>
      <c r="G293" t="s">
        <v>827</v>
      </c>
    </row>
    <row r="294" spans="2:7" x14ac:dyDescent="0.3">
      <c r="B294" t="s">
        <v>128</v>
      </c>
      <c r="C294" t="s">
        <v>129</v>
      </c>
      <c r="D294" t="s">
        <v>9</v>
      </c>
      <c r="E294" t="s">
        <v>101</v>
      </c>
      <c r="F294">
        <v>120000</v>
      </c>
      <c r="G294" t="s">
        <v>827</v>
      </c>
    </row>
    <row r="295" spans="2:7" x14ac:dyDescent="0.3">
      <c r="B295" t="s">
        <v>126</v>
      </c>
      <c r="C295" t="s">
        <v>127</v>
      </c>
      <c r="D295" t="s">
        <v>9</v>
      </c>
      <c r="E295" t="s">
        <v>101</v>
      </c>
      <c r="F295">
        <v>59000</v>
      </c>
      <c r="G295" t="s">
        <v>827</v>
      </c>
    </row>
    <row r="296" spans="2:7" x14ac:dyDescent="0.3">
      <c r="B296" t="s">
        <v>124</v>
      </c>
      <c r="C296" t="s">
        <v>125</v>
      </c>
      <c r="D296" t="s">
        <v>9</v>
      </c>
      <c r="E296" t="s">
        <v>101</v>
      </c>
      <c r="F296">
        <v>59000</v>
      </c>
      <c r="G296" t="s">
        <v>827</v>
      </c>
    </row>
    <row r="297" spans="2:7" x14ac:dyDescent="0.3">
      <c r="B297" t="s">
        <v>122</v>
      </c>
      <c r="C297" t="s">
        <v>123</v>
      </c>
      <c r="D297" t="s">
        <v>9</v>
      </c>
      <c r="E297" t="s">
        <v>101</v>
      </c>
      <c r="F297">
        <v>96000</v>
      </c>
      <c r="G297" t="s">
        <v>827</v>
      </c>
    </row>
    <row r="298" spans="2:7" x14ac:dyDescent="0.3">
      <c r="B298" t="s">
        <v>120</v>
      </c>
      <c r="C298" t="s">
        <v>121</v>
      </c>
      <c r="D298" t="s">
        <v>9</v>
      </c>
      <c r="E298" t="s">
        <v>101</v>
      </c>
      <c r="F298">
        <v>96000</v>
      </c>
      <c r="G298" t="s">
        <v>827</v>
      </c>
    </row>
    <row r="299" spans="2:7" x14ac:dyDescent="0.3">
      <c r="B299" t="s">
        <v>118</v>
      </c>
      <c r="C299" t="s">
        <v>119</v>
      </c>
      <c r="D299" t="s">
        <v>9</v>
      </c>
      <c r="E299" t="s">
        <v>101</v>
      </c>
      <c r="F299">
        <v>96000</v>
      </c>
      <c r="G299" t="s">
        <v>827</v>
      </c>
    </row>
    <row r="300" spans="2:7" x14ac:dyDescent="0.3">
      <c r="B300" t="s">
        <v>116</v>
      </c>
      <c r="C300" t="s">
        <v>117</v>
      </c>
      <c r="D300" t="s">
        <v>9</v>
      </c>
      <c r="E300" t="s">
        <v>101</v>
      </c>
      <c r="F300">
        <v>150000</v>
      </c>
      <c r="G300" t="s">
        <v>827</v>
      </c>
    </row>
    <row r="301" spans="2:7" x14ac:dyDescent="0.3">
      <c r="B301" t="s">
        <v>114</v>
      </c>
      <c r="C301" t="s">
        <v>115</v>
      </c>
      <c r="D301" t="s">
        <v>9</v>
      </c>
      <c r="E301" t="s">
        <v>101</v>
      </c>
      <c r="F301">
        <v>150000</v>
      </c>
      <c r="G301" t="s">
        <v>827</v>
      </c>
    </row>
    <row r="302" spans="2:7" x14ac:dyDescent="0.3">
      <c r="B302" t="s">
        <v>112</v>
      </c>
      <c r="C302" t="s">
        <v>113</v>
      </c>
      <c r="D302" t="s">
        <v>9</v>
      </c>
      <c r="E302" t="s">
        <v>101</v>
      </c>
      <c r="F302">
        <v>150000</v>
      </c>
      <c r="G302" t="s">
        <v>827</v>
      </c>
    </row>
    <row r="303" spans="2:7" x14ac:dyDescent="0.3">
      <c r="B303" t="s">
        <v>110</v>
      </c>
      <c r="C303" t="s">
        <v>111</v>
      </c>
      <c r="D303" t="s">
        <v>9</v>
      </c>
      <c r="E303" t="s">
        <v>101</v>
      </c>
      <c r="F303">
        <v>158000</v>
      </c>
      <c r="G303" t="s">
        <v>827</v>
      </c>
    </row>
    <row r="304" spans="2:7" x14ac:dyDescent="0.3">
      <c r="B304" t="s">
        <v>108</v>
      </c>
      <c r="C304" t="s">
        <v>109</v>
      </c>
      <c r="D304" t="s">
        <v>9</v>
      </c>
      <c r="E304" t="s">
        <v>101</v>
      </c>
      <c r="F304">
        <v>138000</v>
      </c>
      <c r="G304" t="s">
        <v>827</v>
      </c>
    </row>
    <row r="305" spans="2:7" x14ac:dyDescent="0.3">
      <c r="B305" t="s">
        <v>106</v>
      </c>
      <c r="C305" t="s">
        <v>107</v>
      </c>
      <c r="D305" t="s">
        <v>9</v>
      </c>
      <c r="E305" t="s">
        <v>101</v>
      </c>
      <c r="F305">
        <v>148350</v>
      </c>
      <c r="G305" t="s">
        <v>827</v>
      </c>
    </row>
    <row r="306" spans="2:7" x14ac:dyDescent="0.3">
      <c r="B306" t="s">
        <v>104</v>
      </c>
      <c r="C306" t="s">
        <v>105</v>
      </c>
      <c r="D306" t="s">
        <v>9</v>
      </c>
      <c r="E306" t="s">
        <v>10</v>
      </c>
      <c r="F306">
        <v>120000</v>
      </c>
      <c r="G306" t="s">
        <v>827</v>
      </c>
    </row>
    <row r="307" spans="2:7" x14ac:dyDescent="0.3">
      <c r="B307" t="s">
        <v>102</v>
      </c>
      <c r="C307" t="s">
        <v>103</v>
      </c>
      <c r="D307" t="s">
        <v>9</v>
      </c>
      <c r="E307" t="s">
        <v>101</v>
      </c>
      <c r="F307">
        <v>9900</v>
      </c>
      <c r="G307" t="s">
        <v>827</v>
      </c>
    </row>
    <row r="308" spans="2:7" x14ac:dyDescent="0.3">
      <c r="B308" t="s">
        <v>99</v>
      </c>
      <c r="C308" t="s">
        <v>100</v>
      </c>
      <c r="D308" t="s">
        <v>9</v>
      </c>
      <c r="E308" t="s">
        <v>101</v>
      </c>
      <c r="F308">
        <v>148000</v>
      </c>
      <c r="G308" t="s">
        <v>827</v>
      </c>
    </row>
    <row r="309" spans="2:7" x14ac:dyDescent="0.3">
      <c r="B309" t="s">
        <v>97</v>
      </c>
      <c r="C309" t="s">
        <v>98</v>
      </c>
      <c r="D309" t="s">
        <v>9</v>
      </c>
      <c r="E309" t="s">
        <v>10</v>
      </c>
      <c r="F309">
        <v>52000</v>
      </c>
      <c r="G309" t="s">
        <v>827</v>
      </c>
    </row>
    <row r="310" spans="2:7" x14ac:dyDescent="0.3">
      <c r="B310" t="s">
        <v>95</v>
      </c>
      <c r="C310" t="s">
        <v>96</v>
      </c>
      <c r="D310" t="s">
        <v>9</v>
      </c>
      <c r="E310" t="s">
        <v>10</v>
      </c>
      <c r="F310">
        <v>128000</v>
      </c>
      <c r="G310" t="s">
        <v>827</v>
      </c>
    </row>
    <row r="311" spans="2:7" x14ac:dyDescent="0.3">
      <c r="B311" t="s">
        <v>93</v>
      </c>
      <c r="C311" t="s">
        <v>94</v>
      </c>
      <c r="D311" t="s">
        <v>9</v>
      </c>
      <c r="E311" t="s">
        <v>10</v>
      </c>
      <c r="F311">
        <v>65000</v>
      </c>
      <c r="G311" t="s">
        <v>827</v>
      </c>
    </row>
    <row r="312" spans="2:7" x14ac:dyDescent="0.3">
      <c r="B312" t="s">
        <v>91</v>
      </c>
      <c r="C312" t="s">
        <v>92</v>
      </c>
      <c r="D312" t="s">
        <v>9</v>
      </c>
      <c r="E312" t="s">
        <v>10</v>
      </c>
      <c r="F312">
        <v>65000</v>
      </c>
      <c r="G312" t="s">
        <v>827</v>
      </c>
    </row>
    <row r="313" spans="2:7" x14ac:dyDescent="0.3">
      <c r="B313" t="s">
        <v>89</v>
      </c>
      <c r="C313" t="s">
        <v>90</v>
      </c>
      <c r="D313" t="s">
        <v>9</v>
      </c>
      <c r="E313" t="s">
        <v>10</v>
      </c>
      <c r="F313">
        <v>12000</v>
      </c>
      <c r="G313" t="s">
        <v>827</v>
      </c>
    </row>
    <row r="314" spans="2:7" x14ac:dyDescent="0.3">
      <c r="B314" t="s">
        <v>87</v>
      </c>
      <c r="C314" t="s">
        <v>88</v>
      </c>
      <c r="D314" t="s">
        <v>9</v>
      </c>
      <c r="E314" t="s">
        <v>10</v>
      </c>
      <c r="F314">
        <v>12000</v>
      </c>
      <c r="G314" t="s">
        <v>827</v>
      </c>
    </row>
    <row r="315" spans="2:7" x14ac:dyDescent="0.3">
      <c r="B315" t="s">
        <v>85</v>
      </c>
      <c r="C315" t="s">
        <v>86</v>
      </c>
      <c r="D315" t="s">
        <v>9</v>
      </c>
      <c r="E315" t="s">
        <v>10</v>
      </c>
      <c r="F315">
        <v>12000</v>
      </c>
      <c r="G315" t="s">
        <v>827</v>
      </c>
    </row>
    <row r="316" spans="2:7" x14ac:dyDescent="0.3">
      <c r="B316" t="s">
        <v>83</v>
      </c>
      <c r="C316" t="s">
        <v>84</v>
      </c>
      <c r="D316" t="s">
        <v>9</v>
      </c>
      <c r="E316" t="s">
        <v>10</v>
      </c>
      <c r="F316">
        <v>58000</v>
      </c>
      <c r="G316" t="s">
        <v>827</v>
      </c>
    </row>
    <row r="317" spans="2:7" x14ac:dyDescent="0.3">
      <c r="B317" t="s">
        <v>81</v>
      </c>
      <c r="C317" t="s">
        <v>82</v>
      </c>
      <c r="D317" t="s">
        <v>9</v>
      </c>
      <c r="E317" t="s">
        <v>10</v>
      </c>
      <c r="F317">
        <v>120000</v>
      </c>
      <c r="G317" t="s">
        <v>827</v>
      </c>
    </row>
    <row r="318" spans="2:7" x14ac:dyDescent="0.3">
      <c r="B318" t="s">
        <v>79</v>
      </c>
      <c r="C318" t="s">
        <v>80</v>
      </c>
      <c r="D318" t="s">
        <v>9</v>
      </c>
      <c r="E318" t="s">
        <v>10</v>
      </c>
      <c r="F318">
        <v>58000</v>
      </c>
      <c r="G318" t="s">
        <v>827</v>
      </c>
    </row>
    <row r="319" spans="2:7" x14ac:dyDescent="0.3">
      <c r="B319" t="s">
        <v>77</v>
      </c>
      <c r="C319" t="s">
        <v>78</v>
      </c>
      <c r="D319" t="s">
        <v>9</v>
      </c>
      <c r="E319" t="s">
        <v>10</v>
      </c>
      <c r="F319">
        <v>120000</v>
      </c>
      <c r="G319" t="s">
        <v>827</v>
      </c>
    </row>
    <row r="320" spans="2:7" x14ac:dyDescent="0.3">
      <c r="B320" t="s">
        <v>75</v>
      </c>
      <c r="C320" t="s">
        <v>76</v>
      </c>
      <c r="D320" t="s">
        <v>9</v>
      </c>
      <c r="E320" t="s">
        <v>10</v>
      </c>
      <c r="F320">
        <v>58000</v>
      </c>
      <c r="G320" t="s">
        <v>827</v>
      </c>
    </row>
    <row r="321" spans="2:7" x14ac:dyDescent="0.3">
      <c r="B321" t="s">
        <v>73</v>
      </c>
      <c r="C321" t="s">
        <v>74</v>
      </c>
      <c r="D321" t="s">
        <v>9</v>
      </c>
      <c r="E321" t="s">
        <v>10</v>
      </c>
      <c r="F321">
        <v>120000</v>
      </c>
      <c r="G321" t="s">
        <v>827</v>
      </c>
    </row>
    <row r="322" spans="2:7" x14ac:dyDescent="0.3">
      <c r="B322" t="s">
        <v>71</v>
      </c>
      <c r="C322" t="s">
        <v>72</v>
      </c>
      <c r="D322" t="s">
        <v>9</v>
      </c>
      <c r="E322" t="s">
        <v>10</v>
      </c>
      <c r="F322">
        <v>58000</v>
      </c>
      <c r="G322" t="s">
        <v>827</v>
      </c>
    </row>
    <row r="323" spans="2:7" x14ac:dyDescent="0.3">
      <c r="B323" t="s">
        <v>69</v>
      </c>
      <c r="C323" t="s">
        <v>70</v>
      </c>
      <c r="D323" t="s">
        <v>9</v>
      </c>
      <c r="E323" t="s">
        <v>10</v>
      </c>
      <c r="F323">
        <v>120000</v>
      </c>
      <c r="G323" t="s">
        <v>827</v>
      </c>
    </row>
    <row r="324" spans="2:7" x14ac:dyDescent="0.3">
      <c r="B324" t="s">
        <v>67</v>
      </c>
      <c r="C324" t="s">
        <v>68</v>
      </c>
      <c r="D324" t="s">
        <v>9</v>
      </c>
      <c r="E324" t="s">
        <v>10</v>
      </c>
      <c r="F324">
        <v>58000</v>
      </c>
      <c r="G324" t="s">
        <v>827</v>
      </c>
    </row>
    <row r="325" spans="2:7" x14ac:dyDescent="0.3">
      <c r="B325" t="s">
        <v>65</v>
      </c>
      <c r="C325" t="s">
        <v>66</v>
      </c>
      <c r="D325" t="s">
        <v>9</v>
      </c>
      <c r="E325" t="s">
        <v>10</v>
      </c>
      <c r="F325">
        <v>180000</v>
      </c>
      <c r="G325" t="s">
        <v>827</v>
      </c>
    </row>
    <row r="326" spans="2:7" x14ac:dyDescent="0.3">
      <c r="B326" t="s">
        <v>63</v>
      </c>
      <c r="C326" t="s">
        <v>64</v>
      </c>
      <c r="D326" t="s">
        <v>9</v>
      </c>
      <c r="E326" t="s">
        <v>10</v>
      </c>
      <c r="F326">
        <v>164000</v>
      </c>
      <c r="G326" t="s">
        <v>827</v>
      </c>
    </row>
    <row r="327" spans="2:7" x14ac:dyDescent="0.3">
      <c r="B327" t="s">
        <v>61</v>
      </c>
      <c r="C327" t="s">
        <v>62</v>
      </c>
      <c r="D327" t="s">
        <v>9</v>
      </c>
      <c r="E327" t="s">
        <v>10</v>
      </c>
      <c r="F327">
        <v>220000</v>
      </c>
      <c r="G327" t="s">
        <v>827</v>
      </c>
    </row>
    <row r="328" spans="2:7" x14ac:dyDescent="0.3">
      <c r="B328" t="s">
        <v>59</v>
      </c>
      <c r="C328" t="s">
        <v>60</v>
      </c>
      <c r="D328" t="s">
        <v>9</v>
      </c>
      <c r="E328" t="s">
        <v>10</v>
      </c>
      <c r="F328">
        <v>158000</v>
      </c>
      <c r="G328" t="s">
        <v>827</v>
      </c>
    </row>
    <row r="329" spans="2:7" x14ac:dyDescent="0.3">
      <c r="B329" t="s">
        <v>57</v>
      </c>
      <c r="C329" t="s">
        <v>58</v>
      </c>
      <c r="D329" t="s">
        <v>9</v>
      </c>
      <c r="E329" t="s">
        <v>10</v>
      </c>
      <c r="F329">
        <v>138000</v>
      </c>
      <c r="G329" t="s">
        <v>827</v>
      </c>
    </row>
    <row r="330" spans="2:7" x14ac:dyDescent="0.3">
      <c r="B330" t="s">
        <v>55</v>
      </c>
      <c r="C330" t="s">
        <v>56</v>
      </c>
      <c r="D330" t="s">
        <v>9</v>
      </c>
      <c r="E330" t="s">
        <v>10</v>
      </c>
      <c r="F330">
        <v>48000</v>
      </c>
      <c r="G330" t="s">
        <v>827</v>
      </c>
    </row>
    <row r="331" spans="2:7" x14ac:dyDescent="0.3">
      <c r="B331" t="s">
        <v>53</v>
      </c>
      <c r="C331" t="s">
        <v>54</v>
      </c>
      <c r="D331" t="s">
        <v>9</v>
      </c>
      <c r="E331" t="s">
        <v>10</v>
      </c>
      <c r="F331">
        <v>490000</v>
      </c>
      <c r="G331" t="s">
        <v>827</v>
      </c>
    </row>
    <row r="332" spans="2:7" x14ac:dyDescent="0.3">
      <c r="B332" t="s">
        <v>51</v>
      </c>
      <c r="C332" t="s">
        <v>52</v>
      </c>
      <c r="D332" t="s">
        <v>9</v>
      </c>
      <c r="E332" t="s">
        <v>10</v>
      </c>
      <c r="F332">
        <v>490000</v>
      </c>
      <c r="G332" t="s">
        <v>827</v>
      </c>
    </row>
    <row r="333" spans="2:7" x14ac:dyDescent="0.3">
      <c r="B333" t="s">
        <v>49</v>
      </c>
      <c r="C333" t="s">
        <v>50</v>
      </c>
      <c r="D333" t="s">
        <v>9</v>
      </c>
      <c r="E333" t="s">
        <v>10</v>
      </c>
      <c r="F333">
        <v>48000</v>
      </c>
      <c r="G333" t="s">
        <v>827</v>
      </c>
    </row>
    <row r="334" spans="2:7" x14ac:dyDescent="0.3">
      <c r="B334" t="s">
        <v>47</v>
      </c>
      <c r="C334" t="s">
        <v>48</v>
      </c>
      <c r="D334" t="s">
        <v>9</v>
      </c>
      <c r="E334" t="s">
        <v>10</v>
      </c>
      <c r="F334">
        <v>139000</v>
      </c>
      <c r="G334" t="s">
        <v>827</v>
      </c>
    </row>
    <row r="335" spans="2:7" x14ac:dyDescent="0.3">
      <c r="B335" t="s">
        <v>45</v>
      </c>
      <c r="C335" t="s">
        <v>46</v>
      </c>
      <c r="D335" t="s">
        <v>9</v>
      </c>
      <c r="E335" t="s">
        <v>10</v>
      </c>
      <c r="F335">
        <v>79000</v>
      </c>
      <c r="G335" t="s">
        <v>827</v>
      </c>
    </row>
    <row r="336" spans="2:7" x14ac:dyDescent="0.3">
      <c r="B336" t="s">
        <v>43</v>
      </c>
      <c r="C336" t="s">
        <v>44</v>
      </c>
      <c r="D336" t="s">
        <v>9</v>
      </c>
      <c r="E336" t="s">
        <v>10</v>
      </c>
      <c r="F336">
        <v>48000</v>
      </c>
      <c r="G336" t="s">
        <v>827</v>
      </c>
    </row>
    <row r="337" spans="2:7" x14ac:dyDescent="0.3">
      <c r="B337" t="s">
        <v>41</v>
      </c>
      <c r="C337" t="s">
        <v>42</v>
      </c>
      <c r="D337" t="s">
        <v>9</v>
      </c>
      <c r="E337" t="s">
        <v>10</v>
      </c>
      <c r="F337">
        <v>48000</v>
      </c>
      <c r="G337" t="s">
        <v>827</v>
      </c>
    </row>
    <row r="338" spans="2:7" x14ac:dyDescent="0.3">
      <c r="B338" t="s">
        <v>39</v>
      </c>
      <c r="C338" t="s">
        <v>40</v>
      </c>
      <c r="D338" t="s">
        <v>9</v>
      </c>
      <c r="E338" t="s">
        <v>10</v>
      </c>
      <c r="F338">
        <v>59000</v>
      </c>
      <c r="G338" t="s">
        <v>827</v>
      </c>
    </row>
    <row r="339" spans="2:7" x14ac:dyDescent="0.3">
      <c r="B339" t="s">
        <v>37</v>
      </c>
      <c r="C339" t="s">
        <v>38</v>
      </c>
      <c r="D339" t="s">
        <v>9</v>
      </c>
      <c r="E339" t="s">
        <v>10</v>
      </c>
      <c r="F339">
        <v>150000</v>
      </c>
      <c r="G339" t="s">
        <v>827</v>
      </c>
    </row>
    <row r="340" spans="2:7" x14ac:dyDescent="0.3">
      <c r="B340" t="s">
        <v>35</v>
      </c>
      <c r="C340" t="s">
        <v>36</v>
      </c>
      <c r="D340" t="s">
        <v>9</v>
      </c>
      <c r="E340" t="s">
        <v>10</v>
      </c>
      <c r="F340">
        <v>150000</v>
      </c>
      <c r="G340" t="s">
        <v>827</v>
      </c>
    </row>
    <row r="341" spans="2:7" x14ac:dyDescent="0.3">
      <c r="B341" t="s">
        <v>33</v>
      </c>
      <c r="C341" t="s">
        <v>34</v>
      </c>
      <c r="D341" t="s">
        <v>9</v>
      </c>
      <c r="E341" t="s">
        <v>10</v>
      </c>
      <c r="F341">
        <v>150000</v>
      </c>
      <c r="G341" t="s">
        <v>827</v>
      </c>
    </row>
    <row r="342" spans="2:7" x14ac:dyDescent="0.3">
      <c r="B342" t="s">
        <v>31</v>
      </c>
      <c r="C342" t="s">
        <v>32</v>
      </c>
      <c r="D342" t="s">
        <v>9</v>
      </c>
      <c r="E342" t="s">
        <v>10</v>
      </c>
      <c r="F342">
        <v>150000</v>
      </c>
      <c r="G342" t="s">
        <v>827</v>
      </c>
    </row>
    <row r="343" spans="2:7" x14ac:dyDescent="0.3">
      <c r="B343" t="s">
        <v>29</v>
      </c>
      <c r="C343" t="s">
        <v>30</v>
      </c>
      <c r="D343" t="s">
        <v>9</v>
      </c>
      <c r="E343" t="s">
        <v>10</v>
      </c>
      <c r="F343">
        <v>150000</v>
      </c>
      <c r="G343" t="s">
        <v>827</v>
      </c>
    </row>
    <row r="344" spans="2:7" x14ac:dyDescent="0.3">
      <c r="B344" t="s">
        <v>27</v>
      </c>
      <c r="C344" t="s">
        <v>28</v>
      </c>
      <c r="D344" t="s">
        <v>9</v>
      </c>
      <c r="E344" t="s">
        <v>10</v>
      </c>
      <c r="F344">
        <v>150000</v>
      </c>
      <c r="G344" t="s">
        <v>827</v>
      </c>
    </row>
    <row r="345" spans="2:7" x14ac:dyDescent="0.3">
      <c r="B345" t="s">
        <v>25</v>
      </c>
      <c r="C345" t="s">
        <v>26</v>
      </c>
      <c r="D345" t="s">
        <v>9</v>
      </c>
      <c r="E345" t="s">
        <v>10</v>
      </c>
      <c r="F345">
        <v>150000</v>
      </c>
      <c r="G345" t="s">
        <v>827</v>
      </c>
    </row>
    <row r="346" spans="2:7" x14ac:dyDescent="0.3">
      <c r="B346" t="s">
        <v>23</v>
      </c>
      <c r="C346" t="s">
        <v>24</v>
      </c>
      <c r="D346" t="s">
        <v>9</v>
      </c>
      <c r="E346" t="s">
        <v>10</v>
      </c>
      <c r="F346">
        <v>48000</v>
      </c>
      <c r="G346" t="s">
        <v>827</v>
      </c>
    </row>
    <row r="347" spans="2:7" x14ac:dyDescent="0.3">
      <c r="B347" t="s">
        <v>21</v>
      </c>
      <c r="C347" t="s">
        <v>22</v>
      </c>
      <c r="D347" t="s">
        <v>9</v>
      </c>
      <c r="E347" t="s">
        <v>10</v>
      </c>
      <c r="F347">
        <v>48000</v>
      </c>
      <c r="G347" t="s">
        <v>827</v>
      </c>
    </row>
    <row r="348" spans="2:7" x14ac:dyDescent="0.3">
      <c r="B348" t="s">
        <v>19</v>
      </c>
      <c r="C348" t="s">
        <v>20</v>
      </c>
      <c r="D348" t="s">
        <v>9</v>
      </c>
      <c r="E348" t="s">
        <v>10</v>
      </c>
      <c r="F348">
        <v>84000</v>
      </c>
      <c r="G348" t="s">
        <v>827</v>
      </c>
    </row>
    <row r="349" spans="2:7" x14ac:dyDescent="0.3">
      <c r="B349" t="s">
        <v>17</v>
      </c>
      <c r="C349" t="s">
        <v>18</v>
      </c>
      <c r="D349" t="s">
        <v>9</v>
      </c>
      <c r="E349" t="s">
        <v>10</v>
      </c>
      <c r="F349">
        <v>164000</v>
      </c>
      <c r="G349" t="s">
        <v>827</v>
      </c>
    </row>
    <row r="350" spans="2:7" x14ac:dyDescent="0.3">
      <c r="B350" t="s">
        <v>15</v>
      </c>
      <c r="C350" t="s">
        <v>16</v>
      </c>
      <c r="D350" t="s">
        <v>9</v>
      </c>
      <c r="E350" t="s">
        <v>10</v>
      </c>
      <c r="F350">
        <v>150000</v>
      </c>
      <c r="G350" t="s">
        <v>827</v>
      </c>
    </row>
    <row r="351" spans="2:7" x14ac:dyDescent="0.3">
      <c r="B351" t="s">
        <v>13</v>
      </c>
      <c r="C351" t="s">
        <v>14</v>
      </c>
      <c r="D351" t="s">
        <v>9</v>
      </c>
      <c r="E351" t="s">
        <v>10</v>
      </c>
      <c r="F351">
        <v>158000</v>
      </c>
      <c r="G351" t="s">
        <v>827</v>
      </c>
    </row>
    <row r="352" spans="2:7" x14ac:dyDescent="0.3">
      <c r="B352" t="s">
        <v>11</v>
      </c>
      <c r="C352" t="s">
        <v>12</v>
      </c>
      <c r="D352" t="s">
        <v>9</v>
      </c>
      <c r="E352" t="s">
        <v>10</v>
      </c>
      <c r="F352">
        <v>138000</v>
      </c>
      <c r="G352" t="s">
        <v>827</v>
      </c>
    </row>
    <row r="353" spans="2:7" x14ac:dyDescent="0.3">
      <c r="B353" t="s">
        <v>7</v>
      </c>
      <c r="C353" t="s">
        <v>8</v>
      </c>
      <c r="D353" t="s">
        <v>9</v>
      </c>
      <c r="E353" t="s">
        <v>10</v>
      </c>
      <c r="F353">
        <v>220000</v>
      </c>
      <c r="G353" t="s">
        <v>827</v>
      </c>
    </row>
  </sheetData>
  <autoFilter ref="A1:H353" xr:uid="{00000000-0009-0000-0000-000003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상품마스터</vt:lpstr>
      <vt:lpstr>세트규칙</vt:lpstr>
      <vt:lpstr>체크포인트</vt:lpstr>
      <vt:lpstr>보고상품명코드매핑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경섭 송</cp:lastModifiedBy>
  <dcterms:created xsi:type="dcterms:W3CDTF">2026-04-06T10:19:27Z</dcterms:created>
  <dcterms:modified xsi:type="dcterms:W3CDTF">2026-04-07T02:29:28Z</dcterms:modified>
</cp:coreProperties>
</file>