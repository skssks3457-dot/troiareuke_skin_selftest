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95ce159a6aca04/Desktop/파일/"/>
    </mc:Choice>
  </mc:AlternateContent>
  <xr:revisionPtr revIDLastSave="20" documentId="13_ncr:1_{DF0EF991-DDB6-4CC2-AD22-01BC789EE790}" xr6:coauthVersionLast="47" xr6:coauthVersionMax="47" xr10:uidLastSave="{1C7322AF-29F6-44BF-9F03-AD974367AA2F}"/>
  <bookViews>
    <workbookView xWindow="28680" yWindow="-120" windowWidth="29040" windowHeight="15720" xr2:uid="{6F479B5D-2F83-4E07-8427-C065160DF93D}"/>
  </bookViews>
  <sheets>
    <sheet name="트로이아르케 상품가격표" sheetId="2" r:id="rId1"/>
    <sheet name="담향포함" sheetId="1" r:id="rId2"/>
    <sheet name="단종" sheetId="3" r:id="rId3"/>
  </sheets>
  <definedNames>
    <definedName name="_xlnm.Print_Titles" localSheetId="1">담향포함!$3:$3</definedName>
    <definedName name="_xlnm.Print_Titles" localSheetId="0">'트로이아르케 상품가격표'!$3:$3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3" l="1"/>
  <c r="F15" i="3"/>
  <c r="F14" i="3"/>
  <c r="F13" i="3"/>
  <c r="F12" i="3"/>
  <c r="F11" i="3"/>
  <c r="F10" i="3"/>
  <c r="F9" i="3"/>
  <c r="F8" i="3"/>
  <c r="F6" i="3"/>
  <c r="F5" i="3"/>
  <c r="F4" i="3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4" i="2"/>
  <c r="F23" i="2"/>
  <c r="F21" i="2"/>
  <c r="F20" i="2"/>
  <c r="F19" i="2"/>
  <c r="F18" i="2"/>
  <c r="F17" i="2"/>
  <c r="F15" i="2"/>
  <c r="F14" i="2"/>
  <c r="F13" i="2"/>
  <c r="F11" i="2"/>
  <c r="F8" i="2"/>
  <c r="F8" i="1"/>
  <c r="F22" i="1"/>
  <c r="F23" i="1"/>
  <c r="F52" i="1"/>
  <c r="F53" i="1"/>
  <c r="F45" i="1"/>
  <c r="F46" i="1"/>
  <c r="F47" i="1"/>
  <c r="F48" i="1"/>
  <c r="F49" i="1"/>
  <c r="F50" i="1"/>
  <c r="F51" i="1"/>
  <c r="F44" i="1"/>
  <c r="F43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27" i="1"/>
  <c r="F18" i="1"/>
  <c r="F19" i="1"/>
  <c r="F20" i="1"/>
  <c r="F21" i="1"/>
  <c r="F17" i="1"/>
  <c r="F15" i="1"/>
  <c r="F14" i="1"/>
  <c r="F13" i="1"/>
  <c r="F11" i="1"/>
</calcChain>
</file>

<file path=xl/sharedStrings.xml><?xml version="1.0" encoding="utf-8"?>
<sst xmlns="http://schemas.openxmlformats.org/spreadsheetml/2006/main" count="219" uniqueCount="123">
  <si>
    <t>상품명 / 용량</t>
    <phoneticPr fontId="2" type="noConversion"/>
  </si>
  <si>
    <t>샵가</t>
    <phoneticPr fontId="2" type="noConversion"/>
  </si>
  <si>
    <t>소비자가</t>
    <phoneticPr fontId="2" type="noConversion"/>
  </si>
  <si>
    <t>트로이필 디그리징 솔루션 200ml</t>
    <phoneticPr fontId="2" type="noConversion"/>
  </si>
  <si>
    <t>웨폰키트</t>
    <phoneticPr fontId="2" type="noConversion"/>
  </si>
  <si>
    <t xml:space="preserve"> P.I.T 클렌징 밀크 500ml</t>
    <phoneticPr fontId="2" type="noConversion"/>
  </si>
  <si>
    <t>힐링칵테일 70ml</t>
    <phoneticPr fontId="2" type="noConversion"/>
  </si>
  <si>
    <t>힐링칵테일 200ml</t>
    <phoneticPr fontId="2" type="noConversion"/>
  </si>
  <si>
    <t>에너지크림 125ml</t>
    <phoneticPr fontId="2" type="noConversion"/>
  </si>
  <si>
    <t>에너지크림 500ml</t>
    <phoneticPr fontId="2" type="noConversion"/>
  </si>
  <si>
    <t>쉴드 크림 25ml</t>
    <phoneticPr fontId="2" type="noConversion"/>
  </si>
  <si>
    <t>안티-링클 아이크림 25ml</t>
    <phoneticPr fontId="2" type="noConversion"/>
  </si>
  <si>
    <t>에스테틱 BB크림 H/A 15ml</t>
    <phoneticPr fontId="2" type="noConversion"/>
  </si>
  <si>
    <t>힐링쿠션 A</t>
    <phoneticPr fontId="2" type="noConversion"/>
  </si>
  <si>
    <t>인텐스 UV 프로텍터크림 50ml</t>
    <phoneticPr fontId="2" type="noConversion"/>
  </si>
  <si>
    <t>악센 오일컷 클렌징 120ml</t>
    <phoneticPr fontId="2" type="noConversion"/>
  </si>
  <si>
    <t>악센 오일컷 클렌징 300ml</t>
    <phoneticPr fontId="2" type="noConversion"/>
  </si>
  <si>
    <t>악센 시카 SEN 토너 150ml</t>
    <phoneticPr fontId="2" type="noConversion"/>
  </si>
  <si>
    <t>악센 TOC 토너 100ml</t>
    <phoneticPr fontId="2" type="noConversion"/>
  </si>
  <si>
    <t>악센 SEN 앰플 35ml</t>
    <phoneticPr fontId="2" type="noConversion"/>
  </si>
  <si>
    <t>악센 셀레믹스 세럼 40ml</t>
    <phoneticPr fontId="2" type="noConversion"/>
  </si>
  <si>
    <t>악센 리커버리 25ml</t>
    <phoneticPr fontId="2" type="noConversion"/>
  </si>
  <si>
    <t>악센 리커버리 80ml</t>
    <phoneticPr fontId="2" type="noConversion"/>
  </si>
  <si>
    <t>악센 AC 크림 25ml</t>
    <phoneticPr fontId="2" type="noConversion"/>
  </si>
  <si>
    <t>악센 UV 프로텍터 에센스 50ml</t>
    <phoneticPr fontId="2" type="noConversion"/>
  </si>
  <si>
    <t>악센 포어컨트롤 마스크 50ml</t>
    <phoneticPr fontId="2" type="noConversion"/>
  </si>
  <si>
    <t>악센 포어컨트롤마스크 200ml</t>
    <phoneticPr fontId="2" type="noConversion"/>
  </si>
  <si>
    <t>악센 퍼플 시카 마스크 5ea</t>
    <phoneticPr fontId="2" type="noConversion"/>
  </si>
  <si>
    <t>악센 SOS슬리핑마스크 50ml</t>
    <phoneticPr fontId="2" type="noConversion"/>
  </si>
  <si>
    <t xml:space="preserve">하이드라 퀀칭 앰플 세럼 35ml </t>
    <phoneticPr fontId="2" type="noConversion"/>
  </si>
  <si>
    <t xml:space="preserve">하이드라 퀀칭 앰플 크림 50ml </t>
    <phoneticPr fontId="2" type="noConversion"/>
  </si>
  <si>
    <t>바타 토닝 앰플 세럼 35ml</t>
    <phoneticPr fontId="2" type="noConversion"/>
  </si>
  <si>
    <t>바타 토닝 앰플 크림 50ml</t>
    <phoneticPr fontId="2" type="noConversion"/>
  </si>
  <si>
    <t>레드 디-에이징 앰플 세럼 35ml</t>
    <phoneticPr fontId="2" type="noConversion"/>
  </si>
  <si>
    <t>레드 디-에이징 앰플 크림 50ml</t>
    <phoneticPr fontId="2" type="noConversion"/>
  </si>
  <si>
    <t>티-레스큐 앰플 세럼 35ml</t>
    <phoneticPr fontId="2" type="noConversion"/>
  </si>
  <si>
    <t>티-레스큐 앰플 크림 50ml</t>
    <phoneticPr fontId="2" type="noConversion"/>
  </si>
  <si>
    <t>VVS 키트</t>
    <phoneticPr fontId="2" type="noConversion"/>
  </si>
  <si>
    <t>VVS 인핸서 마스크(RX) 5ea</t>
    <phoneticPr fontId="2" type="noConversion"/>
  </si>
  <si>
    <t>트로이아르케 도자기</t>
    <phoneticPr fontId="2" type="noConversion"/>
  </si>
  <si>
    <t>트로이아르케 대나무 힐링 패드</t>
    <phoneticPr fontId="2" type="noConversion"/>
  </si>
  <si>
    <t>트로이아르케 힐링 캡슐</t>
    <phoneticPr fontId="2" type="noConversion"/>
  </si>
  <si>
    <t>트로이아르케 실리콘브러쉬</t>
    <phoneticPr fontId="2" type="noConversion"/>
  </si>
  <si>
    <t>트로이 아르케 리프팅 컵</t>
    <phoneticPr fontId="2" type="noConversion"/>
  </si>
  <si>
    <t>악센 오일컷클렌징 3ml</t>
    <phoneticPr fontId="2" type="noConversion"/>
  </si>
  <si>
    <t>100ea</t>
    <phoneticPr fontId="2" type="noConversion"/>
  </si>
  <si>
    <t>악센 리커버리 1.5ml</t>
    <phoneticPr fontId="2" type="noConversion"/>
  </si>
  <si>
    <t>에너지크림 1.5ml</t>
    <phoneticPr fontId="2" type="noConversion"/>
  </si>
  <si>
    <t>에스테틱 BB크림 H포물러 1ml</t>
    <phoneticPr fontId="2" type="noConversion"/>
  </si>
  <si>
    <t>에스테틱 BB크림 A포물러 1ml</t>
    <phoneticPr fontId="2" type="noConversion"/>
  </si>
  <si>
    <t>A.G.T 하이드로에센스 3ml</t>
    <phoneticPr fontId="2" type="noConversion"/>
  </si>
  <si>
    <t>인텐스 UV 프로텍터크림 1.5ml</t>
    <phoneticPr fontId="2" type="noConversion"/>
  </si>
  <si>
    <t>악센 UV프로텍터 에센스 1.5ml</t>
    <phoneticPr fontId="2" type="noConversion"/>
  </si>
  <si>
    <t>쉴드 크림 1.5ml</t>
    <phoneticPr fontId="2" type="noConversion"/>
  </si>
  <si>
    <t>오행 목 에센셜 오일 10ml</t>
    <phoneticPr fontId="2" type="noConversion"/>
  </si>
  <si>
    <t>오행 화 에센셜 오일 10ml</t>
    <phoneticPr fontId="2" type="noConversion"/>
  </si>
  <si>
    <t>오행 토 에센셜 오일 10ml</t>
    <phoneticPr fontId="2" type="noConversion"/>
  </si>
  <si>
    <t>오행 금 에센셜 오일 10ml</t>
    <phoneticPr fontId="2" type="noConversion"/>
  </si>
  <si>
    <t>오행 수 에센셜 오일 10ml</t>
    <phoneticPr fontId="2" type="noConversion"/>
  </si>
  <si>
    <t>슈퍼 아로마 에센셜 오일 10ml</t>
    <phoneticPr fontId="2" type="noConversion"/>
  </si>
  <si>
    <t>소프트 브레스 에센셜 오일 10ml</t>
    <phoneticPr fontId="2" type="noConversion"/>
  </si>
  <si>
    <t>마인드 콘센트레이션 에센셜 오일 10ml</t>
    <phoneticPr fontId="2" type="noConversion"/>
  </si>
  <si>
    <t>페미닌 에센셜 오일 10ml</t>
    <phoneticPr fontId="2" type="noConversion"/>
  </si>
  <si>
    <t>딥 슬립 에센셜 오일 10ml</t>
    <phoneticPr fontId="2" type="noConversion"/>
  </si>
  <si>
    <t>팻 다운 에센셜 오일 10ml</t>
    <phoneticPr fontId="2" type="noConversion"/>
  </si>
  <si>
    <t>시너지 바디 트레이너 오일 300ml</t>
    <phoneticPr fontId="2" type="noConversion"/>
  </si>
  <si>
    <t>GPS 마스크 레드 디에이징(1장)</t>
    <phoneticPr fontId="2" type="noConversion"/>
  </si>
  <si>
    <t>악센 AC 클리어 앰플 7ml 3ea</t>
    <phoneticPr fontId="2" type="noConversion"/>
  </si>
  <si>
    <t>X</t>
    <phoneticPr fontId="2" type="noConversion"/>
  </si>
  <si>
    <t>아로마LD오일 200ml</t>
    <phoneticPr fontId="2" type="noConversion"/>
  </si>
  <si>
    <t>트로이아르케 상품 가격표</t>
    <phoneticPr fontId="2" type="noConversion"/>
  </si>
  <si>
    <t>P.I.T 클렌징 밀크 180ml</t>
    <phoneticPr fontId="2" type="noConversion"/>
  </si>
  <si>
    <t>AGT하이드로크림 1.5ml</t>
    <phoneticPr fontId="2" type="noConversion"/>
  </si>
  <si>
    <t>GPS 마스크 티-레스큐(1장)</t>
    <phoneticPr fontId="2" type="noConversion"/>
  </si>
  <si>
    <t>GPS 마스크 비타 토닝 2 스텝(1장)</t>
    <phoneticPr fontId="2" type="noConversion"/>
  </si>
  <si>
    <t>멜라 C 인퓨저</t>
    <phoneticPr fontId="2" type="noConversion"/>
  </si>
  <si>
    <t>A-Prep 스킨 스케일링(RX) 30ml</t>
    <phoneticPr fontId="2" type="noConversion"/>
  </si>
  <si>
    <t>악센 AC 스팟 솔루션 15ml</t>
    <phoneticPr fontId="2" type="noConversion"/>
  </si>
  <si>
    <r>
      <t xml:space="preserve">A.G.T </t>
    </r>
    <r>
      <rPr>
        <vertAlign val="superscript"/>
        <sz val="11"/>
        <color rgb="FF000000"/>
        <rFont val="SUIT"/>
        <family val="3"/>
        <charset val="129"/>
      </rPr>
      <t>TM</t>
    </r>
    <r>
      <rPr>
        <sz val="11"/>
        <color indexed="8"/>
        <rFont val="SUIT"/>
        <family val="3"/>
        <charset val="129"/>
      </rPr>
      <t>하이드로에센스 100ml</t>
    </r>
    <phoneticPr fontId="2" type="noConversion"/>
  </si>
  <si>
    <r>
      <t xml:space="preserve">A.G.T </t>
    </r>
    <r>
      <rPr>
        <vertAlign val="superscript"/>
        <sz val="11"/>
        <color rgb="FF000000"/>
        <rFont val="SUIT"/>
        <family val="3"/>
        <charset val="129"/>
      </rPr>
      <t>TM</t>
    </r>
    <r>
      <rPr>
        <sz val="11"/>
        <color indexed="8"/>
        <rFont val="SUIT"/>
        <family val="3"/>
        <charset val="129"/>
      </rPr>
      <t>하이드로 에센스 500ml</t>
    </r>
    <phoneticPr fontId="2" type="noConversion"/>
  </si>
  <si>
    <r>
      <t xml:space="preserve">AGT </t>
    </r>
    <r>
      <rPr>
        <vertAlign val="superscript"/>
        <sz val="11"/>
        <color rgb="FF000000"/>
        <rFont val="SUIT"/>
        <family val="3"/>
        <charset val="129"/>
      </rPr>
      <t>TM</t>
    </r>
    <r>
      <rPr>
        <sz val="11"/>
        <color indexed="8"/>
        <rFont val="SUIT"/>
        <family val="3"/>
        <charset val="129"/>
      </rPr>
      <t>하이드로크림 50ml</t>
    </r>
    <phoneticPr fontId="2" type="noConversion"/>
  </si>
  <si>
    <t>재생술</t>
    <phoneticPr fontId="2" type="noConversion"/>
  </si>
  <si>
    <t>1:1맞춤
솔루션</t>
    <phoneticPr fontId="2" type="noConversion"/>
  </si>
  <si>
    <t>TROIAREUKE</t>
    <phoneticPr fontId="2" type="noConversion"/>
  </si>
  <si>
    <t>트러블/
예민피부전용</t>
    <phoneticPr fontId="2" type="noConversion"/>
  </si>
  <si>
    <t>ACSEN</t>
    <phoneticPr fontId="2" type="noConversion"/>
  </si>
  <si>
    <t>VVS 무결점피부 
프로그램</t>
    <phoneticPr fontId="2" type="noConversion"/>
  </si>
  <si>
    <t>TROIPEEL
프로그램</t>
    <phoneticPr fontId="2" type="noConversion"/>
  </si>
  <si>
    <t>고농축</t>
    <phoneticPr fontId="2" type="noConversion"/>
  </si>
  <si>
    <t>RX LINE</t>
    <phoneticPr fontId="2" type="noConversion"/>
  </si>
  <si>
    <t>뷰티툴</t>
    <phoneticPr fontId="2" type="noConversion"/>
  </si>
  <si>
    <t>BEAUTY TOOL</t>
    <phoneticPr fontId="2" type="noConversion"/>
  </si>
  <si>
    <t>사쉐</t>
    <phoneticPr fontId="2" type="noConversion"/>
  </si>
  <si>
    <t>DAMHYANG</t>
    <phoneticPr fontId="2" type="noConversion"/>
  </si>
  <si>
    <t>카테고리</t>
    <phoneticPr fontId="2" type="noConversion"/>
  </si>
  <si>
    <t>라인</t>
    <phoneticPr fontId="2" type="noConversion"/>
  </si>
  <si>
    <t>문제점별 솔루션 
&amp; 음양오행
아로마 라인
아로마</t>
    <phoneticPr fontId="2" type="noConversion"/>
  </si>
  <si>
    <t xml:space="preserve">
담향:아로마에 향을 담다</t>
    <phoneticPr fontId="2" type="noConversion"/>
  </si>
  <si>
    <t>브랜드</t>
    <phoneticPr fontId="2" type="noConversion"/>
  </si>
  <si>
    <t>단위: 원</t>
    <phoneticPr fontId="2" type="noConversion"/>
  </si>
  <si>
    <t>TROIAREUKE</t>
  </si>
  <si>
    <r>
      <t xml:space="preserve">AGT </t>
    </r>
    <r>
      <rPr>
        <vertAlign val="superscript"/>
        <sz val="11"/>
        <color rgb="FF000000"/>
        <rFont val="SUIT"/>
        <family val="3"/>
        <charset val="129"/>
      </rPr>
      <t>TM</t>
    </r>
    <r>
      <rPr>
        <sz val="11"/>
        <color indexed="8"/>
        <rFont val="SUIT"/>
        <family val="3"/>
        <charset val="129"/>
      </rPr>
      <t>하이드로크림 25ml</t>
    </r>
    <phoneticPr fontId="2" type="noConversion"/>
  </si>
  <si>
    <t>하이드라 퀀칭 앰플 세럼 35ml (리뉴얼)</t>
    <phoneticPr fontId="2" type="noConversion"/>
  </si>
  <si>
    <t>하이드라 퀀칭 앰플 크림 50ml (리뉴얼)</t>
    <phoneticPr fontId="2" type="noConversion"/>
  </si>
  <si>
    <t>바타 토닝 앰플 세럼 35ml(리뉴얼)</t>
    <phoneticPr fontId="2" type="noConversion"/>
  </si>
  <si>
    <t>바타 토닝 앰플 크림 50ml(리뉴얼)</t>
    <phoneticPr fontId="2" type="noConversion"/>
  </si>
  <si>
    <t>레드 디-에이징 앰플 세럼 35ml(리뉴얼)</t>
    <phoneticPr fontId="2" type="noConversion"/>
  </si>
  <si>
    <t>레드 디-에이징 앰플 크림 50ml(리뉴얼)</t>
    <phoneticPr fontId="2" type="noConversion"/>
  </si>
  <si>
    <t>티-레스큐 앰플 세럼 35ml(리뉴얼)</t>
    <phoneticPr fontId="2" type="noConversion"/>
  </si>
  <si>
    <t>티-레스큐 앰플 크림 50ml(리뉴얼)</t>
    <phoneticPr fontId="2" type="noConversion"/>
  </si>
  <si>
    <t>2025.11.19기준</t>
    <phoneticPr fontId="2" type="noConversion"/>
  </si>
  <si>
    <t>악센 포어컨트롤 마스크 50ml(단종예정)</t>
    <phoneticPr fontId="2" type="noConversion"/>
  </si>
  <si>
    <t>악센 포어컨트롤마스크 200ml(단종예정)</t>
    <phoneticPr fontId="2" type="noConversion"/>
  </si>
  <si>
    <t>악센 퍼플 시카 마스크 5ea(단종예정)</t>
    <phoneticPr fontId="2" type="noConversion"/>
  </si>
  <si>
    <t>악센 SOS슬리핑마스크 50ml(단종예정)</t>
    <phoneticPr fontId="2" type="noConversion"/>
  </si>
  <si>
    <t>악센 셀레믹스 세럼 40ml(단종)</t>
    <phoneticPr fontId="2" type="noConversion"/>
  </si>
  <si>
    <t>에너지크림 500ml(전문가용)</t>
    <phoneticPr fontId="2" type="noConversion"/>
  </si>
  <si>
    <r>
      <t xml:space="preserve">A.G.T </t>
    </r>
    <r>
      <rPr>
        <vertAlign val="superscript"/>
        <sz val="11"/>
        <color rgb="FF000000"/>
        <rFont val="SUIT"/>
        <family val="3"/>
        <charset val="129"/>
      </rPr>
      <t>TM</t>
    </r>
    <r>
      <rPr>
        <sz val="11"/>
        <color indexed="8"/>
        <rFont val="SUIT"/>
        <family val="3"/>
        <charset val="129"/>
      </rPr>
      <t>하이드로 에센스 500ml(전문가용)</t>
    </r>
    <phoneticPr fontId="2" type="noConversion"/>
  </si>
  <si>
    <t xml:space="preserve"> P.I.T 클렌징 밀크 500ml(전문가용)</t>
    <phoneticPr fontId="2" type="noConversion"/>
  </si>
  <si>
    <t>아로마LD오일 300ml</t>
    <phoneticPr fontId="2" type="noConversion"/>
  </si>
  <si>
    <t>2026.04.02기준</t>
    <phoneticPr fontId="2" type="noConversion"/>
  </si>
  <si>
    <t xml:space="preserve">멜라-소닉C- 인퓨저 </t>
    <phoneticPr fontId="2" type="noConversion"/>
  </si>
  <si>
    <t>멜라-소닉C- 인퓨저 크림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</si>
</sst>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0_-;\-* #,##0.0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"/>
      <name val="굴림체"/>
      <family val="3"/>
      <charset val="129"/>
    </font>
    <font>
      <sz val="11"/>
      <color theme="1"/>
      <name val="SUIT"/>
      <family val="3"/>
      <charset val="129"/>
    </font>
    <font>
      <b/>
      <sz val="11"/>
      <color theme="1"/>
      <name val="SUIT"/>
      <family val="3"/>
      <charset val="129"/>
    </font>
    <font>
      <sz val="11"/>
      <color indexed="8"/>
      <name val="SUIT"/>
      <family val="3"/>
      <charset val="129"/>
    </font>
    <font>
      <sz val="11"/>
      <name val="SUIT"/>
      <family val="3"/>
      <charset val="129"/>
    </font>
    <font>
      <vertAlign val="superscript"/>
      <sz val="11"/>
      <color rgb="FF000000"/>
      <name val="SUIT"/>
      <family val="3"/>
      <charset val="129"/>
    </font>
    <font>
      <b/>
      <sz val="11"/>
      <name val="SUIT"/>
      <family val="3"/>
      <charset val="129"/>
    </font>
    <font>
      <b/>
      <sz val="20"/>
      <color theme="1"/>
      <name val="SUIT"/>
      <family val="3"/>
      <charset val="129"/>
    </font>
    <font>
      <b/>
      <sz val="10"/>
      <color theme="1"/>
      <name val="SUIT"/>
      <family val="3"/>
      <charset val="129"/>
    </font>
    <font>
      <sz val="11"/>
      <color rgb="FFFF0000"/>
      <name val="SUIT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</cellStyleXfs>
  <cellXfs count="67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41" fontId="4" fillId="0" borderId="0" xfId="1" applyFont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41" fontId="7" fillId="0" borderId="1" xfId="1" applyFont="1" applyFill="1" applyBorder="1" applyAlignment="1">
      <alignment horizontal="center" vertical="center"/>
    </xf>
    <xf numFmtId="41" fontId="7" fillId="0" borderId="4" xfId="1" applyFont="1" applyFill="1" applyBorder="1" applyAlignment="1">
      <alignment horizontal="center" vertical="center" wrapText="1"/>
    </xf>
    <xf numFmtId="41" fontId="7" fillId="0" borderId="1" xfId="1" applyFont="1" applyFill="1" applyBorder="1" applyAlignment="1">
      <alignment horizontal="center" vertical="center" wrapText="1"/>
    </xf>
    <xf numFmtId="41" fontId="7" fillId="0" borderId="4" xfId="1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176" fontId="7" fillId="0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176" fontId="7" fillId="0" borderId="1" xfId="1" applyNumberFormat="1" applyFont="1" applyFill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/>
    </xf>
    <xf numFmtId="41" fontId="7" fillId="0" borderId="8" xfId="1" applyFont="1" applyFill="1" applyBorder="1" applyAlignment="1">
      <alignment horizontal="center" vertical="center" wrapText="1"/>
    </xf>
    <xf numFmtId="41" fontId="7" fillId="0" borderId="9" xfId="1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41" fontId="9" fillId="2" borderId="3" xfId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right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176" fontId="7" fillId="0" borderId="8" xfId="1" applyNumberFormat="1" applyFont="1" applyFill="1" applyBorder="1" applyAlignment="1">
      <alignment horizontal="center" vertical="center" wrapText="1"/>
    </xf>
    <xf numFmtId="41" fontId="7" fillId="0" borderId="8" xfId="1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41" fontId="12" fillId="0" borderId="1" xfId="1" applyFont="1" applyFill="1" applyBorder="1" applyAlignment="1">
      <alignment horizontal="center" vertical="center" wrapText="1"/>
    </xf>
    <xf numFmtId="41" fontId="12" fillId="0" borderId="4" xfId="1" applyFont="1" applyFill="1" applyBorder="1" applyAlignment="1">
      <alignment horizontal="center" vertical="center"/>
    </xf>
    <xf numFmtId="0" fontId="12" fillId="0" borderId="23" xfId="2" applyFont="1" applyBorder="1" applyAlignment="1">
      <alignment horizontal="center" vertical="center" wrapText="1"/>
    </xf>
    <xf numFmtId="41" fontId="12" fillId="0" borderId="23" xfId="1" applyFont="1" applyFill="1" applyBorder="1" applyAlignment="1">
      <alignment horizontal="center" vertical="center" wrapText="1"/>
    </xf>
    <xf numFmtId="41" fontId="12" fillId="0" borderId="24" xfId="1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41" fontId="12" fillId="0" borderId="4" xfId="1" applyFont="1" applyFill="1" applyBorder="1" applyAlignment="1">
      <alignment horizontal="center" vertical="center" wrapText="1"/>
    </xf>
    <xf numFmtId="41" fontId="12" fillId="0" borderId="1" xfId="1" applyFont="1" applyFill="1" applyBorder="1" applyAlignment="1">
      <alignment horizontal="center" vertical="center"/>
    </xf>
    <xf numFmtId="41" fontId="4" fillId="0" borderId="1" xfId="1" applyFont="1" applyFill="1" applyBorder="1" applyAlignment="1">
      <alignment horizontal="center" vertical="center" wrapText="1"/>
    </xf>
    <xf numFmtId="41" fontId="4" fillId="0" borderId="4" xfId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41" fontId="4" fillId="0" borderId="4" xfId="1" applyFont="1" applyBorder="1" applyAlignment="1">
      <alignment horizontal="center" vertical="center" wrapText="1"/>
    </xf>
    <xf numFmtId="41" fontId="4" fillId="0" borderId="9" xfId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6EB4240E-BF25-43F2-8851-61CE920BF8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6E47E-5B14-4E0E-9EA7-23DEA0DAC6BC}">
  <dimension ref="A1:F55"/>
  <sheetViews>
    <sheetView showGridLines="0" tabSelected="1" zoomScaleNormal="100" workbookViewId="0">
      <pane ySplit="3" topLeftCell="A14" activePane="bottomLeft" state="frozen"/>
      <selection pane="bottomLeft" activeCell="E25" sqref="E25"/>
    </sheetView>
  </sheetViews>
  <sheetFormatPr defaultRowHeight="16.5" x14ac:dyDescent="0.3"/>
  <cols>
    <col min="1" max="1" width="13.625" customWidth="1"/>
    <col min="2" max="2" width="11.125" customWidth="1"/>
    <col min="3" max="3" width="18.625" customWidth="1"/>
    <col min="4" max="4" width="42.5" style="1" bestFit="1" customWidth="1"/>
    <col min="5" max="5" width="11.5" style="1" bestFit="1" customWidth="1"/>
    <col min="6" max="6" width="13.875" style="2" customWidth="1"/>
  </cols>
  <sheetData>
    <row r="1" spans="1:6" ht="48" customHeight="1" x14ac:dyDescent="0.3">
      <c r="A1" s="41" t="s">
        <v>70</v>
      </c>
      <c r="B1" s="42"/>
      <c r="C1" s="42"/>
      <c r="D1" s="42"/>
      <c r="E1" s="42"/>
      <c r="F1" s="42"/>
    </row>
    <row r="2" spans="1:6" ht="23.25" customHeight="1" thickBot="1" x14ac:dyDescent="0.35">
      <c r="A2" s="23" t="s">
        <v>120</v>
      </c>
      <c r="B2" s="24"/>
      <c r="C2" s="24"/>
      <c r="D2" s="24"/>
      <c r="E2" s="23"/>
      <c r="F2" s="25" t="s">
        <v>99</v>
      </c>
    </row>
    <row r="3" spans="1:6" ht="30" customHeight="1" x14ac:dyDescent="0.3">
      <c r="A3" s="26" t="s">
        <v>98</v>
      </c>
      <c r="B3" s="27" t="s">
        <v>95</v>
      </c>
      <c r="C3" s="17" t="s">
        <v>94</v>
      </c>
      <c r="D3" s="18" t="s">
        <v>0</v>
      </c>
      <c r="E3" s="19" t="s">
        <v>1</v>
      </c>
      <c r="F3" s="20" t="s">
        <v>2</v>
      </c>
    </row>
    <row r="4" spans="1:6" ht="19.5" customHeight="1" x14ac:dyDescent="0.3">
      <c r="A4" s="43" t="s">
        <v>83</v>
      </c>
      <c r="B4" s="45" t="s">
        <v>81</v>
      </c>
      <c r="C4" s="46" t="s">
        <v>87</v>
      </c>
      <c r="D4" s="3" t="s">
        <v>3</v>
      </c>
      <c r="E4" s="4">
        <v>69000</v>
      </c>
      <c r="F4" s="5" t="s">
        <v>68</v>
      </c>
    </row>
    <row r="5" spans="1:6" ht="19.5" customHeight="1" x14ac:dyDescent="0.3">
      <c r="A5" s="44"/>
      <c r="B5" s="45"/>
      <c r="C5" s="47"/>
      <c r="D5" s="3" t="s">
        <v>4</v>
      </c>
      <c r="E5" s="4">
        <v>180000</v>
      </c>
      <c r="F5" s="5" t="s">
        <v>68</v>
      </c>
    </row>
    <row r="6" spans="1:6" ht="20.100000000000001" customHeight="1" x14ac:dyDescent="0.3">
      <c r="A6" s="44"/>
      <c r="B6" s="45"/>
      <c r="C6" s="48" t="s">
        <v>86</v>
      </c>
      <c r="D6" s="12" t="s">
        <v>76</v>
      </c>
      <c r="E6" s="6">
        <v>42000</v>
      </c>
      <c r="F6" s="5" t="s">
        <v>68</v>
      </c>
    </row>
    <row r="7" spans="1:6" ht="20.100000000000001" customHeight="1" x14ac:dyDescent="0.3">
      <c r="A7" s="44"/>
      <c r="B7" s="45"/>
      <c r="C7" s="49"/>
      <c r="D7" s="3" t="s">
        <v>37</v>
      </c>
      <c r="E7" s="6">
        <v>180000</v>
      </c>
      <c r="F7" s="5" t="s">
        <v>68</v>
      </c>
    </row>
    <row r="8" spans="1:6" ht="25.5" customHeight="1" x14ac:dyDescent="0.3">
      <c r="A8" s="44"/>
      <c r="B8" s="45"/>
      <c r="C8" s="50"/>
      <c r="D8" s="3" t="s">
        <v>38</v>
      </c>
      <c r="E8" s="6">
        <v>37500</v>
      </c>
      <c r="F8" s="7">
        <f>E8*2</f>
        <v>75000</v>
      </c>
    </row>
    <row r="9" spans="1:6" ht="20.100000000000001" customHeight="1" x14ac:dyDescent="0.3">
      <c r="A9" s="44"/>
      <c r="B9" s="51" t="s">
        <v>82</v>
      </c>
      <c r="C9" s="46" t="s">
        <v>83</v>
      </c>
      <c r="D9" s="3" t="s">
        <v>71</v>
      </c>
      <c r="E9" s="6">
        <v>29000</v>
      </c>
      <c r="F9" s="5">
        <v>58000</v>
      </c>
    </row>
    <row r="10" spans="1:6" ht="20.100000000000001" customHeight="1" x14ac:dyDescent="0.3">
      <c r="A10" s="44"/>
      <c r="B10" s="51"/>
      <c r="C10" s="47"/>
      <c r="D10" s="3" t="s">
        <v>118</v>
      </c>
      <c r="E10" s="6">
        <v>59000</v>
      </c>
      <c r="F10" s="5" t="s">
        <v>68</v>
      </c>
    </row>
    <row r="11" spans="1:6" ht="20.100000000000001" customHeight="1" x14ac:dyDescent="0.3">
      <c r="A11" s="44"/>
      <c r="B11" s="51"/>
      <c r="C11" s="47"/>
      <c r="D11" s="3" t="s">
        <v>78</v>
      </c>
      <c r="E11" s="6">
        <v>32500</v>
      </c>
      <c r="F11" s="5">
        <f>E11*2</f>
        <v>65000</v>
      </c>
    </row>
    <row r="12" spans="1:6" ht="20.100000000000001" customHeight="1" x14ac:dyDescent="0.3">
      <c r="A12" s="44"/>
      <c r="B12" s="51"/>
      <c r="C12" s="47"/>
      <c r="D12" s="3" t="s">
        <v>117</v>
      </c>
      <c r="E12" s="4">
        <v>64500</v>
      </c>
      <c r="F12" s="5" t="s">
        <v>68</v>
      </c>
    </row>
    <row r="13" spans="1:6" ht="20.100000000000001" customHeight="1" x14ac:dyDescent="0.3">
      <c r="A13" s="44"/>
      <c r="B13" s="51"/>
      <c r="C13" s="47"/>
      <c r="D13" s="3" t="s">
        <v>6</v>
      </c>
      <c r="E13" s="6">
        <v>29000</v>
      </c>
      <c r="F13" s="5">
        <f>E13*2</f>
        <v>58000</v>
      </c>
    </row>
    <row r="14" spans="1:6" ht="20.100000000000001" customHeight="1" x14ac:dyDescent="0.3">
      <c r="A14" s="44"/>
      <c r="B14" s="51"/>
      <c r="C14" s="47"/>
      <c r="D14" s="3" t="s">
        <v>7</v>
      </c>
      <c r="E14" s="6">
        <v>60000</v>
      </c>
      <c r="F14" s="7">
        <f>E14*2</f>
        <v>120000</v>
      </c>
    </row>
    <row r="15" spans="1:6" ht="20.100000000000001" customHeight="1" x14ac:dyDescent="0.3">
      <c r="A15" s="44"/>
      <c r="B15" s="51"/>
      <c r="C15" s="47"/>
      <c r="D15" s="8" t="s">
        <v>8</v>
      </c>
      <c r="E15" s="6">
        <v>39500</v>
      </c>
      <c r="F15" s="7">
        <f>E15*2</f>
        <v>79000</v>
      </c>
    </row>
    <row r="16" spans="1:6" ht="20.100000000000001" customHeight="1" x14ac:dyDescent="0.3">
      <c r="A16" s="44"/>
      <c r="B16" s="51"/>
      <c r="C16" s="47"/>
      <c r="D16" s="3" t="s">
        <v>116</v>
      </c>
      <c r="E16" s="6">
        <v>108000</v>
      </c>
      <c r="F16" s="5" t="s">
        <v>68</v>
      </c>
    </row>
    <row r="17" spans="1:6" ht="20.100000000000001" customHeight="1" x14ac:dyDescent="0.3">
      <c r="A17" s="44"/>
      <c r="B17" s="51"/>
      <c r="C17" s="47"/>
      <c r="D17" s="9" t="s">
        <v>10</v>
      </c>
      <c r="E17" s="6">
        <v>24000</v>
      </c>
      <c r="F17" s="7">
        <f>E17*2</f>
        <v>48000</v>
      </c>
    </row>
    <row r="18" spans="1:6" ht="20.100000000000001" customHeight="1" x14ac:dyDescent="0.3">
      <c r="A18" s="44"/>
      <c r="B18" s="51"/>
      <c r="C18" s="47"/>
      <c r="D18" s="3" t="s">
        <v>11</v>
      </c>
      <c r="E18" s="6">
        <v>69500</v>
      </c>
      <c r="F18" s="7">
        <f t="shared" ref="F18:F24" si="0">E18*2</f>
        <v>139000</v>
      </c>
    </row>
    <row r="19" spans="1:6" ht="20.100000000000001" customHeight="1" x14ac:dyDescent="0.3">
      <c r="A19" s="44"/>
      <c r="B19" s="51"/>
      <c r="C19" s="47"/>
      <c r="D19" s="10" t="s">
        <v>12</v>
      </c>
      <c r="E19" s="6">
        <v>24000</v>
      </c>
      <c r="F19" s="7">
        <f t="shared" si="0"/>
        <v>48000</v>
      </c>
    </row>
    <row r="20" spans="1:6" ht="20.100000000000001" customHeight="1" x14ac:dyDescent="0.3">
      <c r="A20" s="44"/>
      <c r="B20" s="51"/>
      <c r="C20" s="47"/>
      <c r="D20" s="10" t="s">
        <v>13</v>
      </c>
      <c r="E20" s="6">
        <v>24000</v>
      </c>
      <c r="F20" s="7">
        <f t="shared" si="0"/>
        <v>48000</v>
      </c>
    </row>
    <row r="21" spans="1:6" ht="20.100000000000001" customHeight="1" x14ac:dyDescent="0.3">
      <c r="A21" s="44"/>
      <c r="B21" s="51"/>
      <c r="C21" s="47"/>
      <c r="D21" s="3" t="s">
        <v>14</v>
      </c>
      <c r="E21" s="6">
        <v>29500</v>
      </c>
      <c r="F21" s="7">
        <f t="shared" si="0"/>
        <v>59000</v>
      </c>
    </row>
    <row r="22" spans="1:6" ht="20.100000000000001" customHeight="1" x14ac:dyDescent="0.3">
      <c r="A22" s="44"/>
      <c r="B22" s="51"/>
      <c r="C22" s="47"/>
      <c r="D22" s="3" t="s">
        <v>101</v>
      </c>
      <c r="E22" s="6">
        <v>26000</v>
      </c>
      <c r="F22" s="7">
        <v>52000</v>
      </c>
    </row>
    <row r="23" spans="1:6" ht="20.100000000000001" customHeight="1" x14ac:dyDescent="0.3">
      <c r="A23" s="44"/>
      <c r="B23" s="51"/>
      <c r="C23" s="47"/>
      <c r="D23" s="3" t="s">
        <v>80</v>
      </c>
      <c r="E23" s="6">
        <v>64000</v>
      </c>
      <c r="F23" s="5">
        <f>E23*2</f>
        <v>128000</v>
      </c>
    </row>
    <row r="24" spans="1:6" ht="20.100000000000001" customHeight="1" x14ac:dyDescent="0.3">
      <c r="A24" s="44"/>
      <c r="B24" s="51"/>
      <c r="C24" s="47"/>
      <c r="D24" s="9" t="s">
        <v>121</v>
      </c>
      <c r="E24" s="39">
        <v>110000</v>
      </c>
      <c r="F24" s="40">
        <f t="shared" si="0"/>
        <v>220000</v>
      </c>
    </row>
    <row r="25" spans="1:6" ht="20.100000000000001" customHeight="1" x14ac:dyDescent="0.3">
      <c r="A25" s="44"/>
      <c r="B25" s="51"/>
      <c r="C25" s="47"/>
      <c r="D25" s="9" t="s">
        <v>122</v>
      </c>
      <c r="E25" s="39"/>
      <c r="F25" s="40"/>
    </row>
    <row r="26" spans="1:6" ht="20.100000000000001" customHeight="1" x14ac:dyDescent="0.3">
      <c r="A26" s="44"/>
      <c r="B26" s="51"/>
      <c r="C26" s="47"/>
      <c r="D26" s="8" t="s">
        <v>74</v>
      </c>
      <c r="E26" s="6">
        <v>6000</v>
      </c>
      <c r="F26" s="7">
        <v>12000</v>
      </c>
    </row>
    <row r="27" spans="1:6" ht="20.100000000000001" customHeight="1" x14ac:dyDescent="0.3">
      <c r="A27" s="44"/>
      <c r="B27" s="51"/>
      <c r="C27" s="47"/>
      <c r="D27" s="8" t="s">
        <v>73</v>
      </c>
      <c r="E27" s="6">
        <v>6000</v>
      </c>
      <c r="F27" s="7">
        <v>12000</v>
      </c>
    </row>
    <row r="28" spans="1:6" ht="20.100000000000001" customHeight="1" x14ac:dyDescent="0.3">
      <c r="A28" s="44"/>
      <c r="B28" s="51"/>
      <c r="C28" s="47"/>
      <c r="D28" s="8" t="s">
        <v>66</v>
      </c>
      <c r="E28" s="6">
        <v>6000</v>
      </c>
      <c r="F28" s="7">
        <v>12000</v>
      </c>
    </row>
    <row r="29" spans="1:6" ht="20.100000000000001" customHeight="1" x14ac:dyDescent="0.3">
      <c r="A29" s="44"/>
      <c r="B29" s="51"/>
      <c r="C29" s="47"/>
      <c r="D29" s="3" t="s">
        <v>119</v>
      </c>
      <c r="E29" s="6">
        <v>245000</v>
      </c>
      <c r="F29" s="7">
        <f>E29*2</f>
        <v>490000</v>
      </c>
    </row>
    <row r="30" spans="1:6" ht="20.100000000000001" customHeight="1" x14ac:dyDescent="0.3">
      <c r="A30" s="44"/>
      <c r="B30" s="52" t="s">
        <v>84</v>
      </c>
      <c r="C30" s="48" t="s">
        <v>85</v>
      </c>
      <c r="D30" s="8" t="s">
        <v>15</v>
      </c>
      <c r="E30" s="6">
        <v>24000</v>
      </c>
      <c r="F30" s="7">
        <f t="shared" ref="F30:F40" si="1">E30*2</f>
        <v>48000</v>
      </c>
    </row>
    <row r="31" spans="1:6" ht="20.100000000000001" customHeight="1" x14ac:dyDescent="0.3">
      <c r="A31" s="44"/>
      <c r="B31" s="53"/>
      <c r="C31" s="49"/>
      <c r="D31" s="3" t="s">
        <v>16</v>
      </c>
      <c r="E31" s="4">
        <v>54000</v>
      </c>
      <c r="F31" s="7">
        <f t="shared" si="1"/>
        <v>108000</v>
      </c>
    </row>
    <row r="32" spans="1:6" ht="20.100000000000001" customHeight="1" x14ac:dyDescent="0.3">
      <c r="A32" s="44"/>
      <c r="B32" s="53"/>
      <c r="C32" s="49"/>
      <c r="D32" s="8" t="s">
        <v>17</v>
      </c>
      <c r="E32" s="6">
        <v>25000</v>
      </c>
      <c r="F32" s="7">
        <f t="shared" si="1"/>
        <v>50000</v>
      </c>
    </row>
    <row r="33" spans="1:6" ht="20.100000000000001" customHeight="1" x14ac:dyDescent="0.3">
      <c r="A33" s="44"/>
      <c r="B33" s="53"/>
      <c r="C33" s="49"/>
      <c r="D33" s="8" t="s">
        <v>18</v>
      </c>
      <c r="E33" s="6">
        <v>24000</v>
      </c>
      <c r="F33" s="7">
        <f t="shared" si="1"/>
        <v>48000</v>
      </c>
    </row>
    <row r="34" spans="1:6" ht="20.100000000000001" customHeight="1" x14ac:dyDescent="0.3">
      <c r="A34" s="44"/>
      <c r="B34" s="53"/>
      <c r="C34" s="49"/>
      <c r="D34" s="8" t="s">
        <v>67</v>
      </c>
      <c r="E34" s="6">
        <v>49500</v>
      </c>
      <c r="F34" s="7">
        <f t="shared" si="1"/>
        <v>99000</v>
      </c>
    </row>
    <row r="35" spans="1:6" ht="20.100000000000001" customHeight="1" x14ac:dyDescent="0.3">
      <c r="A35" s="44"/>
      <c r="B35" s="53"/>
      <c r="C35" s="49"/>
      <c r="D35" s="8" t="s">
        <v>19</v>
      </c>
      <c r="E35" s="6">
        <v>82500</v>
      </c>
      <c r="F35" s="7">
        <f t="shared" si="1"/>
        <v>165000</v>
      </c>
    </row>
    <row r="36" spans="1:6" ht="20.100000000000001" customHeight="1" x14ac:dyDescent="0.3">
      <c r="A36" s="44"/>
      <c r="B36" s="53"/>
      <c r="C36" s="49"/>
      <c r="D36" s="8" t="s">
        <v>77</v>
      </c>
      <c r="E36" s="6">
        <v>29500</v>
      </c>
      <c r="F36" s="7">
        <f t="shared" si="1"/>
        <v>59000</v>
      </c>
    </row>
    <row r="37" spans="1:6" ht="20.100000000000001" customHeight="1" x14ac:dyDescent="0.3">
      <c r="A37" s="44"/>
      <c r="B37" s="53"/>
      <c r="C37" s="49"/>
      <c r="D37" s="11" t="s">
        <v>21</v>
      </c>
      <c r="E37" s="6">
        <v>34000</v>
      </c>
      <c r="F37" s="7">
        <f t="shared" si="1"/>
        <v>68000</v>
      </c>
    </row>
    <row r="38" spans="1:6" ht="20.100000000000001" customHeight="1" x14ac:dyDescent="0.3">
      <c r="A38" s="44"/>
      <c r="B38" s="53"/>
      <c r="C38" s="49"/>
      <c r="D38" s="11" t="s">
        <v>22</v>
      </c>
      <c r="E38" s="6">
        <v>74000</v>
      </c>
      <c r="F38" s="7">
        <f t="shared" si="1"/>
        <v>148000</v>
      </c>
    </row>
    <row r="39" spans="1:6" ht="20.100000000000001" customHeight="1" x14ac:dyDescent="0.3">
      <c r="A39" s="44"/>
      <c r="B39" s="53"/>
      <c r="C39" s="49"/>
      <c r="D39" s="11" t="s">
        <v>23</v>
      </c>
      <c r="E39" s="6">
        <v>34000</v>
      </c>
      <c r="F39" s="7">
        <f t="shared" si="1"/>
        <v>68000</v>
      </c>
    </row>
    <row r="40" spans="1:6" ht="20.100000000000001" customHeight="1" x14ac:dyDescent="0.3">
      <c r="A40" s="44"/>
      <c r="B40" s="54"/>
      <c r="C40" s="49"/>
      <c r="D40" s="11" t="s">
        <v>24</v>
      </c>
      <c r="E40" s="6">
        <v>29500</v>
      </c>
      <c r="F40" s="7">
        <f t="shared" si="1"/>
        <v>59000</v>
      </c>
    </row>
    <row r="41" spans="1:6" ht="20.100000000000001" customHeight="1" x14ac:dyDescent="0.3">
      <c r="A41" s="44"/>
      <c r="B41" s="45" t="s">
        <v>90</v>
      </c>
      <c r="C41" s="48" t="s">
        <v>91</v>
      </c>
      <c r="D41" s="10" t="s">
        <v>39</v>
      </c>
      <c r="E41" s="6">
        <v>75000</v>
      </c>
      <c r="F41" s="7">
        <f t="shared" ref="F41:F42" si="2">E41*2</f>
        <v>150000</v>
      </c>
    </row>
    <row r="42" spans="1:6" ht="20.100000000000001" customHeight="1" x14ac:dyDescent="0.3">
      <c r="A42" s="44"/>
      <c r="B42" s="45"/>
      <c r="C42" s="49"/>
      <c r="D42" s="11" t="s">
        <v>43</v>
      </c>
      <c r="E42" s="4">
        <v>22000</v>
      </c>
      <c r="F42" s="7">
        <f t="shared" si="2"/>
        <v>44000</v>
      </c>
    </row>
    <row r="43" spans="1:6" ht="20.100000000000001" customHeight="1" x14ac:dyDescent="0.3">
      <c r="A43" s="44"/>
      <c r="B43" s="45"/>
      <c r="C43" s="49"/>
      <c r="D43" s="12" t="s">
        <v>40</v>
      </c>
      <c r="E43" s="4">
        <v>6000</v>
      </c>
      <c r="F43" s="7">
        <v>10000</v>
      </c>
    </row>
    <row r="44" spans="1:6" ht="20.100000000000001" customHeight="1" x14ac:dyDescent="0.3">
      <c r="A44" s="44"/>
      <c r="B44" s="45"/>
      <c r="C44" s="49"/>
      <c r="D44" s="12" t="s">
        <v>41</v>
      </c>
      <c r="E44" s="4">
        <v>3000</v>
      </c>
      <c r="F44" s="5" t="s">
        <v>68</v>
      </c>
    </row>
    <row r="45" spans="1:6" ht="20.100000000000001" customHeight="1" x14ac:dyDescent="0.3">
      <c r="A45" s="44"/>
      <c r="B45" s="45"/>
      <c r="C45" s="50"/>
      <c r="D45" s="8" t="s">
        <v>42</v>
      </c>
      <c r="E45" s="4">
        <v>4000</v>
      </c>
      <c r="F45" s="7">
        <v>8000</v>
      </c>
    </row>
    <row r="46" spans="1:6" ht="20.100000000000001" customHeight="1" x14ac:dyDescent="0.3">
      <c r="A46" s="44"/>
      <c r="B46" s="45" t="s">
        <v>92</v>
      </c>
      <c r="C46" s="48" t="s">
        <v>83</v>
      </c>
      <c r="D46" s="12" t="s">
        <v>44</v>
      </c>
      <c r="E46" s="4">
        <v>50000</v>
      </c>
      <c r="F46" s="55" t="s">
        <v>45</v>
      </c>
    </row>
    <row r="47" spans="1:6" ht="20.100000000000001" customHeight="1" x14ac:dyDescent="0.3">
      <c r="A47" s="44"/>
      <c r="B47" s="45"/>
      <c r="C47" s="49"/>
      <c r="D47" s="12" t="s">
        <v>46</v>
      </c>
      <c r="E47" s="4">
        <v>65000</v>
      </c>
      <c r="F47" s="55"/>
    </row>
    <row r="48" spans="1:6" ht="20.100000000000001" customHeight="1" x14ac:dyDescent="0.3">
      <c r="A48" s="44"/>
      <c r="B48" s="45"/>
      <c r="C48" s="49"/>
      <c r="D48" s="12" t="s">
        <v>47</v>
      </c>
      <c r="E48" s="4">
        <v>47000</v>
      </c>
      <c r="F48" s="55"/>
    </row>
    <row r="49" spans="1:6" ht="20.100000000000001" customHeight="1" x14ac:dyDescent="0.3">
      <c r="A49" s="44"/>
      <c r="B49" s="45"/>
      <c r="C49" s="49"/>
      <c r="D49" s="10" t="s">
        <v>48</v>
      </c>
      <c r="E49" s="4">
        <v>65000</v>
      </c>
      <c r="F49" s="55"/>
    </row>
    <row r="50" spans="1:6" ht="20.100000000000001" customHeight="1" x14ac:dyDescent="0.3">
      <c r="A50" s="44"/>
      <c r="B50" s="45"/>
      <c r="C50" s="49"/>
      <c r="D50" s="10" t="s">
        <v>49</v>
      </c>
      <c r="E50" s="4">
        <v>65000</v>
      </c>
      <c r="F50" s="55"/>
    </row>
    <row r="51" spans="1:6" ht="20.100000000000001" customHeight="1" x14ac:dyDescent="0.3">
      <c r="A51" s="44"/>
      <c r="B51" s="45"/>
      <c r="C51" s="49"/>
      <c r="D51" s="10" t="s">
        <v>50</v>
      </c>
      <c r="E51" s="4">
        <v>75000</v>
      </c>
      <c r="F51" s="55"/>
    </row>
    <row r="52" spans="1:6" ht="20.100000000000001" customHeight="1" x14ac:dyDescent="0.3">
      <c r="A52" s="44"/>
      <c r="B52" s="45"/>
      <c r="C52" s="49"/>
      <c r="D52" s="13" t="s">
        <v>72</v>
      </c>
      <c r="E52" s="4">
        <v>65000</v>
      </c>
      <c r="F52" s="55"/>
    </row>
    <row r="53" spans="1:6" ht="20.100000000000001" customHeight="1" x14ac:dyDescent="0.3">
      <c r="A53" s="44"/>
      <c r="B53" s="45"/>
      <c r="C53" s="49"/>
      <c r="D53" s="13" t="s">
        <v>51</v>
      </c>
      <c r="E53" s="4">
        <v>80000</v>
      </c>
      <c r="F53" s="55"/>
    </row>
    <row r="54" spans="1:6" ht="20.100000000000001" customHeight="1" x14ac:dyDescent="0.3">
      <c r="A54" s="44"/>
      <c r="B54" s="45"/>
      <c r="C54" s="49"/>
      <c r="D54" s="13" t="s">
        <v>52</v>
      </c>
      <c r="E54" s="4">
        <v>80000</v>
      </c>
      <c r="F54" s="55"/>
    </row>
    <row r="55" spans="1:6" ht="20.100000000000001" customHeight="1" thickBot="1" x14ac:dyDescent="0.35">
      <c r="A55" s="57"/>
      <c r="B55" s="58"/>
      <c r="C55" s="59"/>
      <c r="D55" s="28" t="s">
        <v>53</v>
      </c>
      <c r="E55" s="29">
        <v>65000</v>
      </c>
      <c r="F55" s="56"/>
    </row>
  </sheetData>
  <mergeCells count="15">
    <mergeCell ref="F46:F55"/>
    <mergeCell ref="A41:A55"/>
    <mergeCell ref="B41:B45"/>
    <mergeCell ref="C41:C45"/>
    <mergeCell ref="B46:B55"/>
    <mergeCell ref="C46:C55"/>
    <mergeCell ref="A1:F1"/>
    <mergeCell ref="A4:A40"/>
    <mergeCell ref="B4:B8"/>
    <mergeCell ref="C4:C5"/>
    <mergeCell ref="C6:C8"/>
    <mergeCell ref="B9:B29"/>
    <mergeCell ref="C9:C29"/>
    <mergeCell ref="B30:B40"/>
    <mergeCell ref="C30:C4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DF24-19A5-43E7-852E-B1EB0E53E90B}">
  <dimension ref="A1:F78"/>
  <sheetViews>
    <sheetView zoomScaleNormal="100" workbookViewId="0">
      <pane ySplit="3" topLeftCell="A4" activePane="bottomLeft" state="frozen"/>
      <selection pane="bottomLeft" activeCell="D14" sqref="D14"/>
    </sheetView>
  </sheetViews>
  <sheetFormatPr defaultRowHeight="16.5" x14ac:dyDescent="0.3"/>
  <cols>
    <col min="1" max="1" width="13.625" customWidth="1"/>
    <col min="3" max="3" width="22.25" customWidth="1"/>
    <col min="4" max="4" width="42.5" style="1" bestFit="1" customWidth="1"/>
    <col min="5" max="5" width="11.5" style="1" bestFit="1" customWidth="1"/>
    <col min="6" max="6" width="13.875" style="2" customWidth="1"/>
  </cols>
  <sheetData>
    <row r="1" spans="1:6" ht="48" customHeight="1" x14ac:dyDescent="0.3">
      <c r="A1" s="41" t="s">
        <v>70</v>
      </c>
      <c r="B1" s="42"/>
      <c r="C1" s="42"/>
      <c r="D1" s="42"/>
      <c r="E1" s="42"/>
      <c r="F1" s="42"/>
    </row>
    <row r="2" spans="1:6" ht="23.25" customHeight="1" thickBot="1" x14ac:dyDescent="0.35">
      <c r="A2" s="23" t="s">
        <v>110</v>
      </c>
      <c r="B2" s="24"/>
      <c r="C2" s="24"/>
      <c r="D2" s="24"/>
      <c r="E2" s="23"/>
      <c r="F2" s="25" t="s">
        <v>99</v>
      </c>
    </row>
    <row r="3" spans="1:6" ht="30" customHeight="1" x14ac:dyDescent="0.3">
      <c r="A3" s="22" t="s">
        <v>98</v>
      </c>
      <c r="B3" s="21" t="s">
        <v>95</v>
      </c>
      <c r="C3" s="17" t="s">
        <v>94</v>
      </c>
      <c r="D3" s="18" t="s">
        <v>0</v>
      </c>
      <c r="E3" s="19" t="s">
        <v>1</v>
      </c>
      <c r="F3" s="20" t="s">
        <v>2</v>
      </c>
    </row>
    <row r="4" spans="1:6" ht="19.5" customHeight="1" x14ac:dyDescent="0.3">
      <c r="A4" s="44" t="s">
        <v>83</v>
      </c>
      <c r="B4" s="45" t="s">
        <v>81</v>
      </c>
      <c r="C4" s="46" t="s">
        <v>87</v>
      </c>
      <c r="D4" s="3" t="s">
        <v>3</v>
      </c>
      <c r="E4" s="4">
        <v>69000</v>
      </c>
      <c r="F4" s="5" t="s">
        <v>68</v>
      </c>
    </row>
    <row r="5" spans="1:6" ht="19.5" customHeight="1" x14ac:dyDescent="0.3">
      <c r="A5" s="44"/>
      <c r="B5" s="45"/>
      <c r="C5" s="47"/>
      <c r="D5" s="3" t="s">
        <v>4</v>
      </c>
      <c r="E5" s="4">
        <v>180000</v>
      </c>
      <c r="F5" s="5" t="s">
        <v>68</v>
      </c>
    </row>
    <row r="6" spans="1:6" ht="20.100000000000001" customHeight="1" x14ac:dyDescent="0.3">
      <c r="A6" s="44"/>
      <c r="B6" s="45"/>
      <c r="C6" s="48" t="s">
        <v>86</v>
      </c>
      <c r="D6" s="12" t="s">
        <v>76</v>
      </c>
      <c r="E6" s="6">
        <v>42000</v>
      </c>
      <c r="F6" s="5" t="s">
        <v>68</v>
      </c>
    </row>
    <row r="7" spans="1:6" ht="20.100000000000001" customHeight="1" x14ac:dyDescent="0.3">
      <c r="A7" s="44"/>
      <c r="B7" s="45"/>
      <c r="C7" s="49"/>
      <c r="D7" s="3" t="s">
        <v>37</v>
      </c>
      <c r="E7" s="6">
        <v>180000</v>
      </c>
      <c r="F7" s="5" t="s">
        <v>68</v>
      </c>
    </row>
    <row r="8" spans="1:6" ht="25.5" customHeight="1" x14ac:dyDescent="0.3">
      <c r="A8" s="44"/>
      <c r="B8" s="45"/>
      <c r="C8" s="50"/>
      <c r="D8" s="3" t="s">
        <v>38</v>
      </c>
      <c r="E8" s="6">
        <v>37500</v>
      </c>
      <c r="F8" s="7">
        <f>E8*2</f>
        <v>75000</v>
      </c>
    </row>
    <row r="9" spans="1:6" ht="20.100000000000001" customHeight="1" x14ac:dyDescent="0.3">
      <c r="A9" s="44"/>
      <c r="B9" s="51" t="s">
        <v>82</v>
      </c>
      <c r="C9" s="46" t="s">
        <v>83</v>
      </c>
      <c r="D9" s="3" t="s">
        <v>71</v>
      </c>
      <c r="E9" s="6">
        <v>29000</v>
      </c>
      <c r="F9" s="5">
        <v>58000</v>
      </c>
    </row>
    <row r="10" spans="1:6" ht="20.100000000000001" customHeight="1" x14ac:dyDescent="0.3">
      <c r="A10" s="44"/>
      <c r="B10" s="51"/>
      <c r="C10" s="47"/>
      <c r="D10" s="3" t="s">
        <v>5</v>
      </c>
      <c r="E10" s="6">
        <v>59000</v>
      </c>
      <c r="F10" s="5" t="s">
        <v>68</v>
      </c>
    </row>
    <row r="11" spans="1:6" ht="20.100000000000001" customHeight="1" x14ac:dyDescent="0.3">
      <c r="A11" s="44"/>
      <c r="B11" s="51"/>
      <c r="C11" s="47"/>
      <c r="D11" s="3" t="s">
        <v>78</v>
      </c>
      <c r="E11" s="6">
        <v>32500</v>
      </c>
      <c r="F11" s="5">
        <f>E11*2</f>
        <v>65000</v>
      </c>
    </row>
    <row r="12" spans="1:6" ht="20.100000000000001" customHeight="1" x14ac:dyDescent="0.3">
      <c r="A12" s="44"/>
      <c r="B12" s="51"/>
      <c r="C12" s="47"/>
      <c r="D12" s="3" t="s">
        <v>79</v>
      </c>
      <c r="E12" s="4">
        <v>64500</v>
      </c>
      <c r="F12" s="5" t="s">
        <v>68</v>
      </c>
    </row>
    <row r="13" spans="1:6" ht="20.100000000000001" customHeight="1" x14ac:dyDescent="0.3">
      <c r="A13" s="44"/>
      <c r="B13" s="51"/>
      <c r="C13" s="47"/>
      <c r="D13" s="3" t="s">
        <v>6</v>
      </c>
      <c r="E13" s="6">
        <v>29000</v>
      </c>
      <c r="F13" s="5">
        <f>E13*2</f>
        <v>58000</v>
      </c>
    </row>
    <row r="14" spans="1:6" ht="20.100000000000001" customHeight="1" x14ac:dyDescent="0.3">
      <c r="A14" s="44"/>
      <c r="B14" s="51"/>
      <c r="C14" s="47"/>
      <c r="D14" s="3" t="s">
        <v>7</v>
      </c>
      <c r="E14" s="6">
        <v>60000</v>
      </c>
      <c r="F14" s="7">
        <f>E14*2</f>
        <v>120000</v>
      </c>
    </row>
    <row r="15" spans="1:6" ht="20.100000000000001" customHeight="1" x14ac:dyDescent="0.3">
      <c r="A15" s="44"/>
      <c r="B15" s="51"/>
      <c r="C15" s="47"/>
      <c r="D15" s="8" t="s">
        <v>8</v>
      </c>
      <c r="E15" s="6">
        <v>39500</v>
      </c>
      <c r="F15" s="7">
        <f>E15*2</f>
        <v>79000</v>
      </c>
    </row>
    <row r="16" spans="1:6" ht="20.100000000000001" customHeight="1" x14ac:dyDescent="0.3">
      <c r="A16" s="44"/>
      <c r="B16" s="51"/>
      <c r="C16" s="47"/>
      <c r="D16" s="3" t="s">
        <v>9</v>
      </c>
      <c r="E16" s="6">
        <v>108000</v>
      </c>
      <c r="F16" s="5" t="s">
        <v>68</v>
      </c>
    </row>
    <row r="17" spans="1:6" ht="20.100000000000001" customHeight="1" x14ac:dyDescent="0.3">
      <c r="A17" s="44"/>
      <c r="B17" s="51"/>
      <c r="C17" s="47"/>
      <c r="D17" s="9" t="s">
        <v>10</v>
      </c>
      <c r="E17" s="6">
        <v>24000</v>
      </c>
      <c r="F17" s="7">
        <f>E17*2</f>
        <v>48000</v>
      </c>
    </row>
    <row r="18" spans="1:6" ht="20.100000000000001" customHeight="1" x14ac:dyDescent="0.3">
      <c r="A18" s="44"/>
      <c r="B18" s="51"/>
      <c r="C18" s="47"/>
      <c r="D18" s="3" t="s">
        <v>11</v>
      </c>
      <c r="E18" s="6">
        <v>69500</v>
      </c>
      <c r="F18" s="7">
        <f t="shared" ref="F18:F23" si="0">E18*2</f>
        <v>139000</v>
      </c>
    </row>
    <row r="19" spans="1:6" ht="20.100000000000001" customHeight="1" x14ac:dyDescent="0.3">
      <c r="A19" s="44"/>
      <c r="B19" s="51"/>
      <c r="C19" s="47"/>
      <c r="D19" s="10" t="s">
        <v>12</v>
      </c>
      <c r="E19" s="6">
        <v>24000</v>
      </c>
      <c r="F19" s="7">
        <f t="shared" si="0"/>
        <v>48000</v>
      </c>
    </row>
    <row r="20" spans="1:6" ht="20.100000000000001" customHeight="1" x14ac:dyDescent="0.3">
      <c r="A20" s="44"/>
      <c r="B20" s="51"/>
      <c r="C20" s="47"/>
      <c r="D20" s="10" t="s">
        <v>13</v>
      </c>
      <c r="E20" s="6">
        <v>24000</v>
      </c>
      <c r="F20" s="7">
        <f t="shared" si="0"/>
        <v>48000</v>
      </c>
    </row>
    <row r="21" spans="1:6" ht="20.100000000000001" customHeight="1" x14ac:dyDescent="0.3">
      <c r="A21" s="44"/>
      <c r="B21" s="51"/>
      <c r="C21" s="47"/>
      <c r="D21" s="3" t="s">
        <v>14</v>
      </c>
      <c r="E21" s="6">
        <v>29500</v>
      </c>
      <c r="F21" s="7">
        <f t="shared" si="0"/>
        <v>59000</v>
      </c>
    </row>
    <row r="22" spans="1:6" ht="20.100000000000001" customHeight="1" x14ac:dyDescent="0.3">
      <c r="A22" s="44"/>
      <c r="B22" s="51"/>
      <c r="C22" s="47"/>
      <c r="D22" s="3" t="s">
        <v>80</v>
      </c>
      <c r="E22" s="6">
        <v>64000</v>
      </c>
      <c r="F22" s="5">
        <f>E22*2</f>
        <v>128000</v>
      </c>
    </row>
    <row r="23" spans="1:6" ht="20.100000000000001" customHeight="1" x14ac:dyDescent="0.3">
      <c r="A23" s="44"/>
      <c r="B23" s="51"/>
      <c r="C23" s="47"/>
      <c r="D23" s="9" t="s">
        <v>75</v>
      </c>
      <c r="E23" s="6">
        <v>110000</v>
      </c>
      <c r="F23" s="7">
        <f t="shared" si="0"/>
        <v>220000</v>
      </c>
    </row>
    <row r="24" spans="1:6" ht="20.100000000000001" customHeight="1" x14ac:dyDescent="0.3">
      <c r="A24" s="44"/>
      <c r="B24" s="51"/>
      <c r="C24" s="47"/>
      <c r="D24" s="8" t="s">
        <v>74</v>
      </c>
      <c r="E24" s="6">
        <v>6000</v>
      </c>
      <c r="F24" s="7">
        <v>12000</v>
      </c>
    </row>
    <row r="25" spans="1:6" ht="20.100000000000001" customHeight="1" x14ac:dyDescent="0.3">
      <c r="A25" s="44"/>
      <c r="B25" s="51"/>
      <c r="C25" s="47"/>
      <c r="D25" s="8" t="s">
        <v>73</v>
      </c>
      <c r="E25" s="6">
        <v>6000</v>
      </c>
      <c r="F25" s="7">
        <v>12000</v>
      </c>
    </row>
    <row r="26" spans="1:6" ht="20.100000000000001" customHeight="1" x14ac:dyDescent="0.3">
      <c r="A26" s="44"/>
      <c r="B26" s="51"/>
      <c r="C26" s="47"/>
      <c r="D26" s="8" t="s">
        <v>66</v>
      </c>
      <c r="E26" s="6">
        <v>6000</v>
      </c>
      <c r="F26" s="7">
        <v>12000</v>
      </c>
    </row>
    <row r="27" spans="1:6" ht="20.100000000000001" customHeight="1" x14ac:dyDescent="0.3">
      <c r="A27" s="44"/>
      <c r="B27" s="51"/>
      <c r="C27" s="47"/>
      <c r="D27" s="3" t="s">
        <v>69</v>
      </c>
      <c r="E27" s="6">
        <v>245000</v>
      </c>
      <c r="F27" s="7">
        <f>E27*2</f>
        <v>490000</v>
      </c>
    </row>
    <row r="28" spans="1:6" ht="20.100000000000001" customHeight="1" x14ac:dyDescent="0.3">
      <c r="A28" s="44"/>
      <c r="B28" s="51" t="s">
        <v>84</v>
      </c>
      <c r="C28" s="48" t="s">
        <v>85</v>
      </c>
      <c r="D28" s="8" t="s">
        <v>15</v>
      </c>
      <c r="E28" s="6">
        <v>24000</v>
      </c>
      <c r="F28" s="7">
        <f t="shared" ref="F28:F41" si="1">E28*2</f>
        <v>48000</v>
      </c>
    </row>
    <row r="29" spans="1:6" ht="20.100000000000001" customHeight="1" x14ac:dyDescent="0.3">
      <c r="A29" s="44"/>
      <c r="B29" s="45"/>
      <c r="C29" s="49"/>
      <c r="D29" s="3" t="s">
        <v>16</v>
      </c>
      <c r="E29" s="4">
        <v>54000</v>
      </c>
      <c r="F29" s="7">
        <f t="shared" si="1"/>
        <v>108000</v>
      </c>
    </row>
    <row r="30" spans="1:6" ht="20.100000000000001" customHeight="1" x14ac:dyDescent="0.3">
      <c r="A30" s="44"/>
      <c r="B30" s="45"/>
      <c r="C30" s="49"/>
      <c r="D30" s="8" t="s">
        <v>17</v>
      </c>
      <c r="E30" s="6">
        <v>25000</v>
      </c>
      <c r="F30" s="7">
        <f t="shared" si="1"/>
        <v>50000</v>
      </c>
    </row>
    <row r="31" spans="1:6" ht="20.100000000000001" customHeight="1" x14ac:dyDescent="0.3">
      <c r="A31" s="44"/>
      <c r="B31" s="45"/>
      <c r="C31" s="49"/>
      <c r="D31" s="8" t="s">
        <v>18</v>
      </c>
      <c r="E31" s="6">
        <v>24000</v>
      </c>
      <c r="F31" s="7">
        <f t="shared" si="1"/>
        <v>48000</v>
      </c>
    </row>
    <row r="32" spans="1:6" ht="20.100000000000001" customHeight="1" x14ac:dyDescent="0.3">
      <c r="A32" s="44"/>
      <c r="B32" s="45"/>
      <c r="C32" s="49"/>
      <c r="D32" s="8" t="s">
        <v>67</v>
      </c>
      <c r="E32" s="6">
        <v>49500</v>
      </c>
      <c r="F32" s="7">
        <f t="shared" si="1"/>
        <v>99000</v>
      </c>
    </row>
    <row r="33" spans="1:6" ht="20.100000000000001" customHeight="1" x14ac:dyDescent="0.3">
      <c r="A33" s="44"/>
      <c r="B33" s="45"/>
      <c r="C33" s="49"/>
      <c r="D33" s="8" t="s">
        <v>19</v>
      </c>
      <c r="E33" s="6">
        <v>82500</v>
      </c>
      <c r="F33" s="7">
        <f t="shared" si="1"/>
        <v>165000</v>
      </c>
    </row>
    <row r="34" spans="1:6" ht="20.100000000000001" customHeight="1" x14ac:dyDescent="0.3">
      <c r="A34" s="44"/>
      <c r="B34" s="45"/>
      <c r="C34" s="49"/>
      <c r="D34" s="8" t="s">
        <v>20</v>
      </c>
      <c r="E34" s="6">
        <v>39000</v>
      </c>
      <c r="F34" s="7">
        <f t="shared" si="1"/>
        <v>78000</v>
      </c>
    </row>
    <row r="35" spans="1:6" ht="20.100000000000001" customHeight="1" x14ac:dyDescent="0.3">
      <c r="A35" s="44"/>
      <c r="B35" s="45"/>
      <c r="C35" s="49"/>
      <c r="D35" s="8" t="s">
        <v>77</v>
      </c>
      <c r="E35" s="6">
        <v>29500</v>
      </c>
      <c r="F35" s="7">
        <f t="shared" si="1"/>
        <v>59000</v>
      </c>
    </row>
    <row r="36" spans="1:6" ht="20.100000000000001" customHeight="1" x14ac:dyDescent="0.3">
      <c r="A36" s="44"/>
      <c r="B36" s="45"/>
      <c r="C36" s="49"/>
      <c r="D36" s="11" t="s">
        <v>21</v>
      </c>
      <c r="E36" s="6">
        <v>34000</v>
      </c>
      <c r="F36" s="7">
        <f t="shared" si="1"/>
        <v>68000</v>
      </c>
    </row>
    <row r="37" spans="1:6" ht="20.100000000000001" customHeight="1" x14ac:dyDescent="0.3">
      <c r="A37" s="44"/>
      <c r="B37" s="45"/>
      <c r="C37" s="49"/>
      <c r="D37" s="11" t="s">
        <v>22</v>
      </c>
      <c r="E37" s="6">
        <v>74000</v>
      </c>
      <c r="F37" s="7">
        <f t="shared" si="1"/>
        <v>148000</v>
      </c>
    </row>
    <row r="38" spans="1:6" ht="20.100000000000001" customHeight="1" x14ac:dyDescent="0.3">
      <c r="A38" s="44"/>
      <c r="B38" s="45"/>
      <c r="C38" s="49"/>
      <c r="D38" s="11" t="s">
        <v>23</v>
      </c>
      <c r="E38" s="6">
        <v>34000</v>
      </c>
      <c r="F38" s="7">
        <f t="shared" si="1"/>
        <v>68000</v>
      </c>
    </row>
    <row r="39" spans="1:6" ht="20.100000000000001" customHeight="1" x14ac:dyDescent="0.3">
      <c r="A39" s="44"/>
      <c r="B39" s="45"/>
      <c r="C39" s="49"/>
      <c r="D39" s="11" t="s">
        <v>24</v>
      </c>
      <c r="E39" s="6">
        <v>29500</v>
      </c>
      <c r="F39" s="7">
        <f t="shared" si="1"/>
        <v>59000</v>
      </c>
    </row>
    <row r="40" spans="1:6" ht="20.100000000000001" customHeight="1" x14ac:dyDescent="0.3">
      <c r="A40" s="44"/>
      <c r="B40" s="45"/>
      <c r="C40" s="49"/>
      <c r="D40" s="11" t="s">
        <v>25</v>
      </c>
      <c r="E40" s="6">
        <v>24000</v>
      </c>
      <c r="F40" s="7">
        <f t="shared" si="1"/>
        <v>48000</v>
      </c>
    </row>
    <row r="41" spans="1:6" ht="20.100000000000001" customHeight="1" x14ac:dyDescent="0.3">
      <c r="A41" s="44"/>
      <c r="B41" s="45"/>
      <c r="C41" s="49"/>
      <c r="D41" s="9" t="s">
        <v>26</v>
      </c>
      <c r="E41" s="4">
        <v>43500</v>
      </c>
      <c r="F41" s="7">
        <f t="shared" si="1"/>
        <v>87000</v>
      </c>
    </row>
    <row r="42" spans="1:6" ht="20.100000000000001" customHeight="1" x14ac:dyDescent="0.3">
      <c r="A42" s="44"/>
      <c r="B42" s="45"/>
      <c r="C42" s="49"/>
      <c r="D42" s="8" t="s">
        <v>27</v>
      </c>
      <c r="E42" s="6">
        <v>35000</v>
      </c>
      <c r="F42" s="5">
        <v>70000</v>
      </c>
    </row>
    <row r="43" spans="1:6" ht="20.100000000000001" customHeight="1" x14ac:dyDescent="0.3">
      <c r="A43" s="44"/>
      <c r="B43" s="45"/>
      <c r="C43" s="50"/>
      <c r="D43" s="3" t="s">
        <v>28</v>
      </c>
      <c r="E43" s="6">
        <v>24000</v>
      </c>
      <c r="F43" s="7">
        <f>E43*2</f>
        <v>48000</v>
      </c>
    </row>
    <row r="44" spans="1:6" ht="20.100000000000001" customHeight="1" x14ac:dyDescent="0.3">
      <c r="A44" s="44"/>
      <c r="B44" s="45" t="s">
        <v>88</v>
      </c>
      <c r="C44" s="48" t="s">
        <v>89</v>
      </c>
      <c r="D44" s="3" t="s">
        <v>29</v>
      </c>
      <c r="E44" s="6">
        <v>79000</v>
      </c>
      <c r="F44" s="7">
        <f>E44*2</f>
        <v>158000</v>
      </c>
    </row>
    <row r="45" spans="1:6" ht="20.100000000000001" customHeight="1" x14ac:dyDescent="0.3">
      <c r="A45" s="44"/>
      <c r="B45" s="45"/>
      <c r="C45" s="49"/>
      <c r="D45" s="3" t="s">
        <v>30</v>
      </c>
      <c r="E45" s="6">
        <v>69000</v>
      </c>
      <c r="F45" s="7">
        <f t="shared" ref="F45:F51" si="2">E45*2</f>
        <v>138000</v>
      </c>
    </row>
    <row r="46" spans="1:6" ht="20.100000000000001" customHeight="1" x14ac:dyDescent="0.3">
      <c r="A46" s="44"/>
      <c r="B46" s="45"/>
      <c r="C46" s="49"/>
      <c r="D46" s="3" t="s">
        <v>31</v>
      </c>
      <c r="E46" s="6">
        <v>79000</v>
      </c>
      <c r="F46" s="7">
        <f t="shared" si="2"/>
        <v>158000</v>
      </c>
    </row>
    <row r="47" spans="1:6" ht="20.100000000000001" customHeight="1" x14ac:dyDescent="0.3">
      <c r="A47" s="44"/>
      <c r="B47" s="45"/>
      <c r="C47" s="49"/>
      <c r="D47" s="3" t="s">
        <v>32</v>
      </c>
      <c r="E47" s="6">
        <v>69000</v>
      </c>
      <c r="F47" s="7">
        <f t="shared" si="2"/>
        <v>138000</v>
      </c>
    </row>
    <row r="48" spans="1:6" ht="20.100000000000001" customHeight="1" x14ac:dyDescent="0.3">
      <c r="A48" s="44"/>
      <c r="B48" s="45"/>
      <c r="C48" s="49"/>
      <c r="D48" s="3" t="s">
        <v>33</v>
      </c>
      <c r="E48" s="6">
        <v>90000</v>
      </c>
      <c r="F48" s="7">
        <f t="shared" si="2"/>
        <v>180000</v>
      </c>
    </row>
    <row r="49" spans="1:6" ht="20.100000000000001" customHeight="1" x14ac:dyDescent="0.3">
      <c r="A49" s="44"/>
      <c r="B49" s="45"/>
      <c r="C49" s="49"/>
      <c r="D49" s="3" t="s">
        <v>34</v>
      </c>
      <c r="E49" s="6">
        <v>82000</v>
      </c>
      <c r="F49" s="7">
        <f t="shared" si="2"/>
        <v>164000</v>
      </c>
    </row>
    <row r="50" spans="1:6" ht="20.100000000000001" customHeight="1" x14ac:dyDescent="0.3">
      <c r="A50" s="44"/>
      <c r="B50" s="45"/>
      <c r="C50" s="49"/>
      <c r="D50" s="3" t="s">
        <v>35</v>
      </c>
      <c r="E50" s="6">
        <v>82000</v>
      </c>
      <c r="F50" s="7">
        <f t="shared" si="2"/>
        <v>164000</v>
      </c>
    </row>
    <row r="51" spans="1:6" ht="20.100000000000001" customHeight="1" x14ac:dyDescent="0.3">
      <c r="A51" s="44"/>
      <c r="B51" s="45"/>
      <c r="C51" s="50"/>
      <c r="D51" s="3" t="s">
        <v>36</v>
      </c>
      <c r="E51" s="6">
        <v>75000</v>
      </c>
      <c r="F51" s="7">
        <f t="shared" si="2"/>
        <v>150000</v>
      </c>
    </row>
    <row r="52" spans="1:6" ht="20.100000000000001" customHeight="1" x14ac:dyDescent="0.3">
      <c r="A52" s="44"/>
      <c r="B52" s="45" t="s">
        <v>90</v>
      </c>
      <c r="C52" s="48" t="s">
        <v>91</v>
      </c>
      <c r="D52" s="10" t="s">
        <v>39</v>
      </c>
      <c r="E52" s="6">
        <v>75000</v>
      </c>
      <c r="F52" s="7">
        <f t="shared" ref="F52:F53" si="3">E52*2</f>
        <v>150000</v>
      </c>
    </row>
    <row r="53" spans="1:6" ht="20.100000000000001" customHeight="1" x14ac:dyDescent="0.3">
      <c r="A53" s="44"/>
      <c r="B53" s="45"/>
      <c r="C53" s="49"/>
      <c r="D53" s="11" t="s">
        <v>43</v>
      </c>
      <c r="E53" s="4">
        <v>22000</v>
      </c>
      <c r="F53" s="7">
        <f t="shared" si="3"/>
        <v>44000</v>
      </c>
    </row>
    <row r="54" spans="1:6" ht="20.100000000000001" customHeight="1" x14ac:dyDescent="0.3">
      <c r="A54" s="44"/>
      <c r="B54" s="45"/>
      <c r="C54" s="49"/>
      <c r="D54" s="12" t="s">
        <v>40</v>
      </c>
      <c r="E54" s="4">
        <v>6000</v>
      </c>
      <c r="F54" s="7">
        <v>10000</v>
      </c>
    </row>
    <row r="55" spans="1:6" ht="20.100000000000001" customHeight="1" x14ac:dyDescent="0.3">
      <c r="A55" s="44"/>
      <c r="B55" s="45"/>
      <c r="C55" s="49"/>
      <c r="D55" s="12" t="s">
        <v>41</v>
      </c>
      <c r="E55" s="4">
        <v>3000</v>
      </c>
      <c r="F55" s="5" t="s">
        <v>68</v>
      </c>
    </row>
    <row r="56" spans="1:6" ht="20.100000000000001" customHeight="1" x14ac:dyDescent="0.3">
      <c r="A56" s="44"/>
      <c r="B56" s="45"/>
      <c r="C56" s="50"/>
      <c r="D56" s="8" t="s">
        <v>42</v>
      </c>
      <c r="E56" s="4">
        <v>4000</v>
      </c>
      <c r="F56" s="7">
        <v>8000</v>
      </c>
    </row>
    <row r="57" spans="1:6" ht="20.100000000000001" customHeight="1" x14ac:dyDescent="0.3">
      <c r="A57" s="44"/>
      <c r="B57" s="45" t="s">
        <v>92</v>
      </c>
      <c r="C57" s="48" t="s">
        <v>83</v>
      </c>
      <c r="D57" s="12" t="s">
        <v>44</v>
      </c>
      <c r="E57" s="4">
        <v>50000</v>
      </c>
      <c r="F57" s="55" t="s">
        <v>45</v>
      </c>
    </row>
    <row r="58" spans="1:6" ht="20.100000000000001" customHeight="1" x14ac:dyDescent="0.3">
      <c r="A58" s="44"/>
      <c r="B58" s="45"/>
      <c r="C58" s="49"/>
      <c r="D58" s="12" t="s">
        <v>46</v>
      </c>
      <c r="E58" s="4">
        <v>65000</v>
      </c>
      <c r="F58" s="55"/>
    </row>
    <row r="59" spans="1:6" ht="20.100000000000001" customHeight="1" x14ac:dyDescent="0.3">
      <c r="A59" s="44"/>
      <c r="B59" s="45"/>
      <c r="C59" s="49"/>
      <c r="D59" s="12" t="s">
        <v>47</v>
      </c>
      <c r="E59" s="4">
        <v>47000</v>
      </c>
      <c r="F59" s="55"/>
    </row>
    <row r="60" spans="1:6" ht="20.100000000000001" customHeight="1" x14ac:dyDescent="0.3">
      <c r="A60" s="44"/>
      <c r="B60" s="45"/>
      <c r="C60" s="49"/>
      <c r="D60" s="10" t="s">
        <v>48</v>
      </c>
      <c r="E60" s="4">
        <v>65000</v>
      </c>
      <c r="F60" s="55"/>
    </row>
    <row r="61" spans="1:6" ht="20.100000000000001" customHeight="1" x14ac:dyDescent="0.3">
      <c r="A61" s="44"/>
      <c r="B61" s="45"/>
      <c r="C61" s="49"/>
      <c r="D61" s="10" t="s">
        <v>49</v>
      </c>
      <c r="E61" s="4">
        <v>65000</v>
      </c>
      <c r="F61" s="55"/>
    </row>
    <row r="62" spans="1:6" ht="20.100000000000001" customHeight="1" x14ac:dyDescent="0.3">
      <c r="A62" s="44"/>
      <c r="B62" s="45"/>
      <c r="C62" s="49"/>
      <c r="D62" s="10" t="s">
        <v>50</v>
      </c>
      <c r="E62" s="4">
        <v>75000</v>
      </c>
      <c r="F62" s="55"/>
    </row>
    <row r="63" spans="1:6" ht="20.100000000000001" customHeight="1" x14ac:dyDescent="0.3">
      <c r="A63" s="44"/>
      <c r="B63" s="45"/>
      <c r="C63" s="49"/>
      <c r="D63" s="13" t="s">
        <v>72</v>
      </c>
      <c r="E63" s="4">
        <v>65000</v>
      </c>
      <c r="F63" s="55"/>
    </row>
    <row r="64" spans="1:6" ht="20.100000000000001" customHeight="1" x14ac:dyDescent="0.3">
      <c r="A64" s="44"/>
      <c r="B64" s="45"/>
      <c r="C64" s="49"/>
      <c r="D64" s="13" t="s">
        <v>51</v>
      </c>
      <c r="E64" s="4">
        <v>80000</v>
      </c>
      <c r="F64" s="55"/>
    </row>
    <row r="65" spans="1:6" ht="20.100000000000001" customHeight="1" x14ac:dyDescent="0.3">
      <c r="A65" s="44"/>
      <c r="B65" s="45"/>
      <c r="C65" s="49"/>
      <c r="D65" s="13" t="s">
        <v>52</v>
      </c>
      <c r="E65" s="4">
        <v>80000</v>
      </c>
      <c r="F65" s="55"/>
    </row>
    <row r="66" spans="1:6" ht="20.100000000000001" customHeight="1" x14ac:dyDescent="0.3">
      <c r="A66" s="60"/>
      <c r="B66" s="45"/>
      <c r="C66" s="50"/>
      <c r="D66" s="13" t="s">
        <v>53</v>
      </c>
      <c r="E66" s="4">
        <v>65000</v>
      </c>
      <c r="F66" s="55"/>
    </row>
    <row r="67" spans="1:6" ht="20.100000000000001" customHeight="1" x14ac:dyDescent="0.3">
      <c r="A67" s="44" t="s">
        <v>93</v>
      </c>
      <c r="B67" s="51" t="s">
        <v>96</v>
      </c>
      <c r="C67" s="48" t="s">
        <v>97</v>
      </c>
      <c r="D67" s="8" t="s">
        <v>54</v>
      </c>
      <c r="E67" s="6">
        <v>66000</v>
      </c>
      <c r="F67" s="7">
        <v>132000</v>
      </c>
    </row>
    <row r="68" spans="1:6" ht="20.100000000000001" customHeight="1" x14ac:dyDescent="0.3">
      <c r="A68" s="44"/>
      <c r="B68" s="45"/>
      <c r="C68" s="49"/>
      <c r="D68" s="8" t="s">
        <v>55</v>
      </c>
      <c r="E68" s="6">
        <v>66000</v>
      </c>
      <c r="F68" s="7">
        <v>132000</v>
      </c>
    </row>
    <row r="69" spans="1:6" ht="20.100000000000001" customHeight="1" x14ac:dyDescent="0.3">
      <c r="A69" s="44"/>
      <c r="B69" s="45"/>
      <c r="C69" s="49"/>
      <c r="D69" s="8" t="s">
        <v>56</v>
      </c>
      <c r="E69" s="6">
        <v>66000</v>
      </c>
      <c r="F69" s="7">
        <v>132000</v>
      </c>
    </row>
    <row r="70" spans="1:6" ht="20.100000000000001" customHeight="1" x14ac:dyDescent="0.3">
      <c r="A70" s="44"/>
      <c r="B70" s="45"/>
      <c r="C70" s="49"/>
      <c r="D70" s="8" t="s">
        <v>57</v>
      </c>
      <c r="E70" s="6">
        <v>66000</v>
      </c>
      <c r="F70" s="7">
        <v>132000</v>
      </c>
    </row>
    <row r="71" spans="1:6" ht="20.100000000000001" customHeight="1" x14ac:dyDescent="0.3">
      <c r="A71" s="44"/>
      <c r="B71" s="45"/>
      <c r="C71" s="49"/>
      <c r="D71" s="8" t="s">
        <v>58</v>
      </c>
      <c r="E71" s="6">
        <v>66000</v>
      </c>
      <c r="F71" s="7">
        <v>132000</v>
      </c>
    </row>
    <row r="72" spans="1:6" ht="20.100000000000001" customHeight="1" x14ac:dyDescent="0.3">
      <c r="A72" s="44"/>
      <c r="B72" s="45"/>
      <c r="C72" s="49"/>
      <c r="D72" s="8" t="s">
        <v>59</v>
      </c>
      <c r="E72" s="6">
        <v>50000</v>
      </c>
      <c r="F72" s="7">
        <v>100000</v>
      </c>
    </row>
    <row r="73" spans="1:6" ht="20.100000000000001" customHeight="1" x14ac:dyDescent="0.3">
      <c r="A73" s="44"/>
      <c r="B73" s="45"/>
      <c r="C73" s="49"/>
      <c r="D73" s="8" t="s">
        <v>60</v>
      </c>
      <c r="E73" s="6">
        <v>40000</v>
      </c>
      <c r="F73" s="7">
        <v>80000</v>
      </c>
    </row>
    <row r="74" spans="1:6" ht="20.100000000000001" customHeight="1" x14ac:dyDescent="0.3">
      <c r="A74" s="44"/>
      <c r="B74" s="45"/>
      <c r="C74" s="49"/>
      <c r="D74" s="8" t="s">
        <v>61</v>
      </c>
      <c r="E74" s="6">
        <v>30000</v>
      </c>
      <c r="F74" s="7">
        <v>60000</v>
      </c>
    </row>
    <row r="75" spans="1:6" ht="20.100000000000001" customHeight="1" x14ac:dyDescent="0.3">
      <c r="A75" s="44"/>
      <c r="B75" s="45"/>
      <c r="C75" s="49"/>
      <c r="D75" s="8" t="s">
        <v>62</v>
      </c>
      <c r="E75" s="6">
        <v>44000</v>
      </c>
      <c r="F75" s="7">
        <v>88000</v>
      </c>
    </row>
    <row r="76" spans="1:6" ht="20.100000000000001" customHeight="1" x14ac:dyDescent="0.3">
      <c r="A76" s="44"/>
      <c r="B76" s="45"/>
      <c r="C76" s="49"/>
      <c r="D76" s="8" t="s">
        <v>63</v>
      </c>
      <c r="E76" s="6">
        <v>30000</v>
      </c>
      <c r="F76" s="7">
        <v>60000</v>
      </c>
    </row>
    <row r="77" spans="1:6" ht="20.100000000000001" customHeight="1" x14ac:dyDescent="0.3">
      <c r="A77" s="44"/>
      <c r="B77" s="45"/>
      <c r="C77" s="49"/>
      <c r="D77" s="8" t="s">
        <v>64</v>
      </c>
      <c r="E77" s="6">
        <v>40000</v>
      </c>
      <c r="F77" s="7">
        <v>80000</v>
      </c>
    </row>
    <row r="78" spans="1:6" ht="20.100000000000001" customHeight="1" thickBot="1" x14ac:dyDescent="0.35">
      <c r="A78" s="57"/>
      <c r="B78" s="58"/>
      <c r="C78" s="59"/>
      <c r="D78" s="14" t="s">
        <v>65</v>
      </c>
      <c r="E78" s="15">
        <v>220000</v>
      </c>
      <c r="F78" s="16">
        <v>440000</v>
      </c>
    </row>
  </sheetData>
  <mergeCells count="19">
    <mergeCell ref="C4:C5"/>
    <mergeCell ref="C9:C27"/>
    <mergeCell ref="C28:C43"/>
    <mergeCell ref="C57:C66"/>
    <mergeCell ref="C44:C51"/>
    <mergeCell ref="C52:C56"/>
    <mergeCell ref="A1:F1"/>
    <mergeCell ref="C67:C78"/>
    <mergeCell ref="C6:C8"/>
    <mergeCell ref="B4:B8"/>
    <mergeCell ref="B9:B27"/>
    <mergeCell ref="B28:B43"/>
    <mergeCell ref="B44:B51"/>
    <mergeCell ref="B52:B56"/>
    <mergeCell ref="B57:B66"/>
    <mergeCell ref="A67:A78"/>
    <mergeCell ref="A4:A66"/>
    <mergeCell ref="B67:B78"/>
    <mergeCell ref="F57:F6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DD2C-1B57-4B40-9B2A-048DA491AC1D}">
  <dimension ref="A1:F16"/>
  <sheetViews>
    <sheetView workbookViewId="0">
      <selection activeCell="G11" sqref="G11:H11"/>
    </sheetView>
  </sheetViews>
  <sheetFormatPr defaultRowHeight="16.5" x14ac:dyDescent="0.3"/>
  <cols>
    <col min="1" max="1" width="13.625" customWidth="1"/>
    <col min="2" max="2" width="11.125" customWidth="1"/>
    <col min="3" max="3" width="18.625" customWidth="1"/>
    <col min="4" max="4" width="42.5" style="1" bestFit="1" customWidth="1"/>
    <col min="5" max="5" width="11.5" style="1" bestFit="1" customWidth="1"/>
    <col min="6" max="6" width="13.875" style="2" customWidth="1"/>
  </cols>
  <sheetData>
    <row r="1" spans="1:6" ht="48" customHeight="1" x14ac:dyDescent="0.3">
      <c r="A1" s="41" t="s">
        <v>70</v>
      </c>
      <c r="B1" s="42"/>
      <c r="C1" s="42"/>
      <c r="D1" s="42"/>
      <c r="E1" s="42"/>
      <c r="F1" s="42"/>
    </row>
    <row r="2" spans="1:6" ht="23.25" customHeight="1" thickBot="1" x14ac:dyDescent="0.35">
      <c r="A2" s="23" t="s">
        <v>110</v>
      </c>
      <c r="B2" s="24"/>
      <c r="C2" s="24"/>
      <c r="D2" s="24"/>
      <c r="E2" s="23"/>
      <c r="F2" s="25" t="s">
        <v>99</v>
      </c>
    </row>
    <row r="3" spans="1:6" ht="30" customHeight="1" x14ac:dyDescent="0.3">
      <c r="A3" s="26" t="s">
        <v>98</v>
      </c>
      <c r="B3" s="27" t="s">
        <v>95</v>
      </c>
      <c r="C3" s="17" t="s">
        <v>94</v>
      </c>
      <c r="D3" s="18" t="s">
        <v>0</v>
      </c>
      <c r="E3" s="19" t="s">
        <v>1</v>
      </c>
      <c r="F3" s="20" t="s">
        <v>2</v>
      </c>
    </row>
    <row r="4" spans="1:6" ht="20.100000000000001" customHeight="1" x14ac:dyDescent="0.3">
      <c r="A4" s="44"/>
      <c r="B4" s="45"/>
      <c r="C4" s="49"/>
      <c r="D4" s="36" t="s">
        <v>115</v>
      </c>
      <c r="E4" s="31">
        <v>39000</v>
      </c>
      <c r="F4" s="32">
        <f t="shared" ref="F4:F6" si="0">E4*2</f>
        <v>78000</v>
      </c>
    </row>
    <row r="5" spans="1:6" ht="20.100000000000001" customHeight="1" x14ac:dyDescent="0.3">
      <c r="A5" s="44"/>
      <c r="B5" s="45"/>
      <c r="C5" s="49"/>
      <c r="D5" s="36" t="s">
        <v>111</v>
      </c>
      <c r="E5" s="31">
        <v>24000</v>
      </c>
      <c r="F5" s="32">
        <f t="shared" si="0"/>
        <v>48000</v>
      </c>
    </row>
    <row r="6" spans="1:6" ht="20.100000000000001" customHeight="1" x14ac:dyDescent="0.3">
      <c r="A6" s="44"/>
      <c r="B6" s="45"/>
      <c r="C6" s="49"/>
      <c r="D6" s="30" t="s">
        <v>112</v>
      </c>
      <c r="E6" s="38">
        <v>43500</v>
      </c>
      <c r="F6" s="32">
        <f t="shared" si="0"/>
        <v>87000</v>
      </c>
    </row>
    <row r="7" spans="1:6" ht="20.100000000000001" customHeight="1" x14ac:dyDescent="0.3">
      <c r="A7" s="44"/>
      <c r="B7" s="45"/>
      <c r="C7" s="49"/>
      <c r="D7" s="36" t="s">
        <v>113</v>
      </c>
      <c r="E7" s="31">
        <v>35000</v>
      </c>
      <c r="F7" s="37">
        <v>70000</v>
      </c>
    </row>
    <row r="8" spans="1:6" ht="20.100000000000001" customHeight="1" x14ac:dyDescent="0.3">
      <c r="A8" s="44"/>
      <c r="B8" s="45"/>
      <c r="C8" s="50"/>
      <c r="D8" s="30" t="s">
        <v>114</v>
      </c>
      <c r="E8" s="31">
        <v>24000</v>
      </c>
      <c r="F8" s="32">
        <f>E8*2</f>
        <v>48000</v>
      </c>
    </row>
    <row r="9" spans="1:6" ht="20.100000000000001" customHeight="1" x14ac:dyDescent="0.3">
      <c r="A9" s="44"/>
      <c r="B9" s="66" t="s">
        <v>88</v>
      </c>
      <c r="C9" s="61" t="s">
        <v>89</v>
      </c>
      <c r="D9" s="30" t="s">
        <v>102</v>
      </c>
      <c r="E9" s="31">
        <v>79000</v>
      </c>
      <c r="F9" s="32">
        <f>E9*2</f>
        <v>158000</v>
      </c>
    </row>
    <row r="10" spans="1:6" ht="20.100000000000001" customHeight="1" x14ac:dyDescent="0.3">
      <c r="A10" s="44"/>
      <c r="B10" s="64"/>
      <c r="C10" s="62"/>
      <c r="D10" s="30" t="s">
        <v>103</v>
      </c>
      <c r="E10" s="31">
        <v>69000</v>
      </c>
      <c r="F10" s="32">
        <f t="shared" ref="F10:F16" si="1">E10*2</f>
        <v>138000</v>
      </c>
    </row>
    <row r="11" spans="1:6" ht="20.100000000000001" customHeight="1" x14ac:dyDescent="0.3">
      <c r="A11" s="44"/>
      <c r="B11" s="64"/>
      <c r="C11" s="62"/>
      <c r="D11" s="30" t="s">
        <v>104</v>
      </c>
      <c r="E11" s="31">
        <v>79000</v>
      </c>
      <c r="F11" s="32">
        <f t="shared" si="1"/>
        <v>158000</v>
      </c>
    </row>
    <row r="12" spans="1:6" ht="20.100000000000001" customHeight="1" x14ac:dyDescent="0.3">
      <c r="A12" s="44"/>
      <c r="B12" s="64"/>
      <c r="C12" s="62"/>
      <c r="D12" s="30" t="s">
        <v>105</v>
      </c>
      <c r="E12" s="31">
        <v>69000</v>
      </c>
      <c r="F12" s="32">
        <f t="shared" si="1"/>
        <v>138000</v>
      </c>
    </row>
    <row r="13" spans="1:6" ht="20.100000000000001" customHeight="1" x14ac:dyDescent="0.3">
      <c r="A13" s="60"/>
      <c r="B13" s="65"/>
      <c r="C13" s="63"/>
      <c r="D13" s="30" t="s">
        <v>106</v>
      </c>
      <c r="E13" s="31">
        <v>90000</v>
      </c>
      <c r="F13" s="32">
        <f t="shared" si="1"/>
        <v>180000</v>
      </c>
    </row>
    <row r="14" spans="1:6" ht="20.100000000000001" customHeight="1" x14ac:dyDescent="0.3">
      <c r="A14" s="44" t="s">
        <v>100</v>
      </c>
      <c r="B14" s="64" t="s">
        <v>88</v>
      </c>
      <c r="C14" s="64" t="s">
        <v>89</v>
      </c>
      <c r="D14" s="33" t="s">
        <v>107</v>
      </c>
      <c r="E14" s="34">
        <v>82000</v>
      </c>
      <c r="F14" s="35">
        <f t="shared" si="1"/>
        <v>164000</v>
      </c>
    </row>
    <row r="15" spans="1:6" ht="20.100000000000001" customHeight="1" x14ac:dyDescent="0.3">
      <c r="A15" s="44"/>
      <c r="B15" s="64"/>
      <c r="C15" s="64"/>
      <c r="D15" s="30" t="s">
        <v>108</v>
      </c>
      <c r="E15" s="31">
        <v>82000</v>
      </c>
      <c r="F15" s="32">
        <f t="shared" si="1"/>
        <v>164000</v>
      </c>
    </row>
    <row r="16" spans="1:6" ht="20.100000000000001" customHeight="1" x14ac:dyDescent="0.3">
      <c r="A16" s="44"/>
      <c r="B16" s="65"/>
      <c r="C16" s="65"/>
      <c r="D16" s="30" t="s">
        <v>109</v>
      </c>
      <c r="E16" s="31">
        <v>75000</v>
      </c>
      <c r="F16" s="32">
        <f t="shared" si="1"/>
        <v>150000</v>
      </c>
    </row>
  </sheetData>
  <mergeCells count="9">
    <mergeCell ref="C9:C13"/>
    <mergeCell ref="A14:A16"/>
    <mergeCell ref="B14:B16"/>
    <mergeCell ref="C14:C16"/>
    <mergeCell ref="A1:F1"/>
    <mergeCell ref="A4:A13"/>
    <mergeCell ref="B4:B8"/>
    <mergeCell ref="C4:C8"/>
    <mergeCell ref="B9:B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트로이아르케 상품가격표</vt:lpstr>
      <vt:lpstr>담향포함</vt:lpstr>
      <vt:lpstr>단종</vt:lpstr>
      <vt:lpstr>담향포함!Print_Titles</vt:lpstr>
      <vt:lpstr>'트로이아르케 상품가격표'!Print_Titles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</dc:creator>
  <cp:lastModifiedBy>재영 박</cp:lastModifiedBy>
  <cp:lastPrinted>2025-08-07T08:30:16Z</cp:lastPrinted>
  <dcterms:created xsi:type="dcterms:W3CDTF">2023-12-07T09:38:29Z</dcterms:created>
  <dcterms:modified xsi:type="dcterms:W3CDTF">2026-04-06T09:44:57Z</dcterms:modified>
</cp:coreProperties>
</file>