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name="보고" sheetId="1" state="visible" r:id="rId1"/>
    <sheet name="2월" sheetId="2" state="visible" r:id="rId2"/>
    <sheet name="3월" sheetId="3" state="visible" r:id="rId3"/>
    <sheet name="4월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#,##0,,"/>
    <numFmt numFmtId="166" formatCode="0_ "/>
    <numFmt numFmtId="167" formatCode="_-* #,##0_-;\-* #,##0_-;_-* &quot;-&quot;_-;_-@_-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0"/>
      <scheme val="minor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</cellStyleXfs>
  <cellXfs count="107">
    <xf numFmtId="0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9" fontId="5" fillId="0" borderId="0" applyAlignment="1" pivotButton="0" quotePrefix="0" xfId="1">
      <alignment vertical="center"/>
    </xf>
    <xf numFmtId="9" fontId="5" fillId="3" borderId="0" applyAlignment="1" pivotButton="0" quotePrefix="0" xfId="1">
      <alignment vertical="center"/>
    </xf>
    <xf numFmtId="9" fontId="5" fillId="3" borderId="0" applyAlignment="1" pivotButton="0" quotePrefix="0" xfId="1">
      <alignment horizontal="center"/>
    </xf>
    <xf numFmtId="164" fontId="5" fillId="0" borderId="0" applyAlignment="1" pivotButton="0" quotePrefix="0" xfId="0">
      <alignment horizontal="right"/>
    </xf>
    <xf numFmtId="164" fontId="5" fillId="0" borderId="1" applyAlignment="1" pivotButton="0" quotePrefix="0" xfId="0">
      <alignment horizontal="left" vertical="center"/>
    </xf>
    <xf numFmtId="9" fontId="5" fillId="0" borderId="1" applyAlignment="1" pivotButton="0" quotePrefix="0" xfId="1">
      <alignment vertical="center"/>
    </xf>
    <xf numFmtId="9" fontId="5" fillId="3" borderId="1" applyAlignment="1" pivotButton="0" quotePrefix="0" xfId="1">
      <alignment vertical="center"/>
    </xf>
    <xf numFmtId="164" fontId="5" fillId="0" borderId="1" applyAlignment="1" pivotButton="0" quotePrefix="0" xfId="0">
      <alignment vertical="center"/>
    </xf>
    <xf numFmtId="165" fontId="5" fillId="0" borderId="0" applyAlignment="1" pivotButton="0" quotePrefix="0" xfId="2">
      <alignment vertical="center"/>
    </xf>
    <xf numFmtId="165" fontId="4" fillId="0" borderId="1" applyAlignment="1" pivotButton="0" quotePrefix="0" xfId="2">
      <alignment horizontal="center" vertical="center"/>
    </xf>
    <xf numFmtId="165" fontId="6" fillId="0" borderId="1" applyAlignment="1" pivotButton="0" quotePrefix="0" xfId="2">
      <alignment horizontal="right" vertical="center"/>
    </xf>
    <xf numFmtId="165" fontId="5" fillId="0" borderId="1" applyAlignment="1" pivotButton="0" quotePrefix="0" xfId="2">
      <alignment vertical="center"/>
    </xf>
    <xf numFmtId="165" fontId="5" fillId="3" borderId="0" applyAlignment="1" pivotButton="0" quotePrefix="0" xfId="2">
      <alignment vertical="center"/>
    </xf>
    <xf numFmtId="165" fontId="4" fillId="3" borderId="1" applyAlignment="1" pivotButton="0" quotePrefix="0" xfId="2">
      <alignment horizontal="center" vertical="center"/>
    </xf>
    <xf numFmtId="165" fontId="5" fillId="3" borderId="1" applyAlignment="1" pivotButton="0" quotePrefix="0" xfId="2">
      <alignment vertical="center"/>
    </xf>
    <xf numFmtId="165" fontId="6" fillId="3" borderId="1" applyAlignment="1" pivotButton="0" quotePrefix="0" xfId="2">
      <alignment horizontal="right" vertical="center"/>
    </xf>
    <xf numFmtId="164" fontId="4" fillId="4" borderId="1" applyAlignment="1" pivotButton="0" quotePrefix="0" xfId="0">
      <alignment horizontal="center" vertical="center"/>
    </xf>
    <xf numFmtId="9" fontId="4" fillId="4" borderId="1" applyAlignment="1" pivotButton="0" quotePrefix="0" xfId="1">
      <alignment vertical="center"/>
    </xf>
    <xf numFmtId="165" fontId="4" fillId="4" borderId="1" applyAlignment="1" pivotButton="0" quotePrefix="0" xfId="2">
      <alignment vertical="center"/>
    </xf>
    <xf numFmtId="164" fontId="4" fillId="4" borderId="1" applyAlignment="1" pivotButton="0" quotePrefix="0" xfId="0">
      <alignment vertical="center"/>
    </xf>
    <xf numFmtId="164" fontId="4" fillId="4" borderId="0" applyAlignment="1" pivotButton="0" quotePrefix="0" xfId="0">
      <alignment vertical="center"/>
    </xf>
    <xf numFmtId="9" fontId="4" fillId="0" borderId="1" applyAlignment="1" pivotButton="0" quotePrefix="0" xfId="1">
      <alignment horizontal="center" vertical="center"/>
    </xf>
    <xf numFmtId="9" fontId="4" fillId="3" borderId="1" applyAlignment="1" pivotButton="0" quotePrefix="0" xfId="1">
      <alignment horizontal="center" vertical="center"/>
    </xf>
    <xf numFmtId="166" fontId="5" fillId="0" borderId="0" applyAlignment="1" pivotButton="0" quotePrefix="0" xfId="2">
      <alignment vertical="center"/>
    </xf>
    <xf numFmtId="166" fontId="4" fillId="0" borderId="1" applyAlignment="1" pivotButton="0" quotePrefix="0" xfId="2">
      <alignment horizontal="center" vertical="center"/>
    </xf>
    <xf numFmtId="166" fontId="6" fillId="0" borderId="1" applyAlignment="1" pivotButton="0" quotePrefix="0" xfId="2">
      <alignment horizontal="right" vertical="center"/>
    </xf>
    <xf numFmtId="166" fontId="5" fillId="0" borderId="1" applyAlignment="1" pivotButton="0" quotePrefix="0" xfId="2">
      <alignment vertical="center"/>
    </xf>
    <xf numFmtId="166" fontId="4" fillId="4" borderId="1" applyAlignment="1" pivotButton="0" quotePrefix="0" xfId="2">
      <alignment vertical="center"/>
    </xf>
    <xf numFmtId="166" fontId="5" fillId="3" borderId="0" applyAlignment="1" pivotButton="0" quotePrefix="0" xfId="2">
      <alignment vertical="center"/>
    </xf>
    <xf numFmtId="166" fontId="4" fillId="3" borderId="1" applyAlignment="1" pivotButton="0" quotePrefix="0" xfId="2">
      <alignment horizontal="center" vertical="center"/>
    </xf>
    <xf numFmtId="166" fontId="5" fillId="3" borderId="1" applyAlignment="1" pivotButton="0" quotePrefix="0" xfId="2">
      <alignment vertical="center"/>
    </xf>
    <xf numFmtId="166" fontId="6" fillId="3" borderId="1" applyAlignment="1" pivotButton="0" quotePrefix="0" xfId="2">
      <alignment horizontal="right" vertical="center"/>
    </xf>
    <xf numFmtId="167" fontId="5" fillId="0" borderId="0" applyAlignment="1" pivotButton="0" quotePrefix="0" xfId="2">
      <alignment vertical="center"/>
    </xf>
    <xf numFmtId="167" fontId="4" fillId="0" borderId="1" applyAlignment="1" pivotButton="0" quotePrefix="0" xfId="2">
      <alignment horizontal="center" vertical="center"/>
    </xf>
    <xf numFmtId="167" fontId="6" fillId="0" borderId="1" applyAlignment="1" pivotButton="0" quotePrefix="0" xfId="2">
      <alignment horizontal="right" vertical="center"/>
    </xf>
    <xf numFmtId="167" fontId="5" fillId="0" borderId="1" applyAlignment="1" pivotButton="0" quotePrefix="0" xfId="2">
      <alignment vertical="center"/>
    </xf>
    <xf numFmtId="167" fontId="4" fillId="4" borderId="1" applyAlignment="1" pivotButton="0" quotePrefix="0" xfId="2">
      <alignment vertical="center"/>
    </xf>
    <xf numFmtId="167" fontId="5" fillId="3" borderId="0" applyAlignment="1" pivotButton="0" quotePrefix="0" xfId="2">
      <alignment vertical="center"/>
    </xf>
    <xf numFmtId="167" fontId="4" fillId="3" borderId="1" applyAlignment="1" pivotButton="0" quotePrefix="0" xfId="2">
      <alignment horizontal="center" vertical="center"/>
    </xf>
    <xf numFmtId="167" fontId="5" fillId="3" borderId="1" applyAlignment="1" pivotButton="0" quotePrefix="0" xfId="2">
      <alignment vertical="center"/>
    </xf>
    <xf numFmtId="167" fontId="6" fillId="3" borderId="1" applyAlignment="1" pivotButton="0" quotePrefix="0" xfId="2">
      <alignment horizontal="right" vertical="center"/>
    </xf>
    <xf numFmtId="167" fontId="7" fillId="0" borderId="6" applyAlignment="1" pivotButton="0" quotePrefix="0" xfId="2">
      <alignment horizontal="right" vertical="center"/>
    </xf>
    <xf numFmtId="167" fontId="4" fillId="5" borderId="1" applyAlignment="1" pivotButton="0" quotePrefix="0" xfId="2">
      <alignment vertical="center"/>
    </xf>
    <xf numFmtId="0" fontId="0" fillId="0" borderId="0" applyAlignment="1" pivotButton="0" quotePrefix="0" xfId="0">
      <alignment horizontal="left" vertical="center" wrapText="1"/>
    </xf>
    <xf numFmtId="164" fontId="4" fillId="0" borderId="5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 textRotation="255"/>
    </xf>
    <xf numFmtId="164" fontId="4" fillId="2" borderId="1" applyAlignment="1" pivotButton="0" quotePrefix="0" xfId="0">
      <alignment horizontal="center" vertical="center" textRotation="255"/>
    </xf>
    <xf numFmtId="164" fontId="3" fillId="0" borderId="2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0" fontId="0" fillId="0" borderId="0" pivotButton="0" quotePrefix="0" xfId="0"/>
    <xf numFmtId="164" fontId="5" fillId="0" borderId="0" applyAlignment="1" pivotButton="0" quotePrefix="0" xfId="0">
      <alignment vertical="center"/>
    </xf>
    <xf numFmtId="166" fontId="5" fillId="0" borderId="0" applyAlignment="1" pivotButton="0" quotePrefix="0" xfId="2">
      <alignment vertical="center"/>
    </xf>
    <xf numFmtId="165" fontId="5" fillId="0" borderId="0" applyAlignment="1" pivotButton="0" quotePrefix="0" xfId="2">
      <alignment vertical="center"/>
    </xf>
    <xf numFmtId="166" fontId="5" fillId="3" borderId="0" applyAlignment="1" pivotButton="0" quotePrefix="0" xfId="2">
      <alignment vertical="center"/>
    </xf>
    <xf numFmtId="165" fontId="5" fillId="3" borderId="0" applyAlignment="1" pivotButton="0" quotePrefix="0" xfId="2">
      <alignment vertical="center"/>
    </xf>
    <xf numFmtId="164" fontId="4" fillId="0" borderId="5" applyAlignment="1" pivotButton="0" quotePrefix="0" xfId="0">
      <alignment horizontal="left" vertical="center"/>
    </xf>
    <xf numFmtId="0" fontId="0" fillId="0" borderId="5" pivotButton="0" quotePrefix="0" xfId="0"/>
    <xf numFmtId="164" fontId="5" fillId="0" borderId="0" applyAlignment="1" pivotButton="0" quotePrefix="0" xfId="0">
      <alignment horizontal="right"/>
    </xf>
    <xf numFmtId="164" fontId="4" fillId="0" borderId="0" applyAlignment="1" pivotButton="0" quotePrefix="0" xfId="0">
      <alignment vertical="center"/>
    </xf>
    <xf numFmtId="164" fontId="4" fillId="0" borderId="1" applyAlignment="1" pivotButton="0" quotePrefix="0" xfId="0">
      <alignment horizontal="center" vertical="center"/>
    </xf>
    <xf numFmtId="0" fontId="0" fillId="0" borderId="8" pivotButton="0" quotePrefix="0" xfId="0"/>
    <xf numFmtId="164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3" fillId="3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166" fontId="4" fillId="0" borderId="1" applyAlignment="1" pivotButton="0" quotePrefix="0" xfId="2">
      <alignment horizontal="center" vertical="center"/>
    </xf>
    <xf numFmtId="165" fontId="4" fillId="0" borderId="1" applyAlignment="1" pivotButton="0" quotePrefix="0" xfId="2">
      <alignment horizontal="center" vertical="center"/>
    </xf>
    <xf numFmtId="166" fontId="4" fillId="3" borderId="1" applyAlignment="1" pivotButton="0" quotePrefix="0" xfId="2">
      <alignment horizontal="center" vertical="center"/>
    </xf>
    <xf numFmtId="165" fontId="4" fillId="3" borderId="1" applyAlignment="1" pivotButton="0" quotePrefix="0" xfId="2">
      <alignment horizontal="center" vertical="center"/>
    </xf>
    <xf numFmtId="0" fontId="0" fillId="0" borderId="11" pivotButton="0" quotePrefix="0" xfId="0"/>
    <xf numFmtId="164" fontId="4" fillId="0" borderId="1" applyAlignment="1" pivotButton="0" quotePrefix="0" xfId="0">
      <alignment horizontal="center" vertical="center" textRotation="255"/>
    </xf>
    <xf numFmtId="164" fontId="5" fillId="0" borderId="1" applyAlignment="1" pivotButton="0" quotePrefix="0" xfId="0">
      <alignment horizontal="left" vertical="center"/>
    </xf>
    <xf numFmtId="166" fontId="6" fillId="0" borderId="1" applyAlignment="1" pivotButton="0" quotePrefix="0" xfId="2">
      <alignment horizontal="right" vertical="center"/>
    </xf>
    <xf numFmtId="165" fontId="6" fillId="0" borderId="1" applyAlignment="1" pivotButton="0" quotePrefix="0" xfId="2">
      <alignment horizontal="right" vertical="center"/>
    </xf>
    <xf numFmtId="166" fontId="5" fillId="3" borderId="1" applyAlignment="1" pivotButton="0" quotePrefix="0" xfId="2">
      <alignment vertical="center"/>
    </xf>
    <xf numFmtId="165" fontId="5" fillId="3" borderId="1" applyAlignment="1" pivotButton="0" quotePrefix="0" xfId="2">
      <alignment vertical="center"/>
    </xf>
    <xf numFmtId="164" fontId="5" fillId="0" borderId="1" applyAlignment="1" pivotButton="0" quotePrefix="0" xfId="0">
      <alignment vertical="center"/>
    </xf>
    <xf numFmtId="0" fontId="0" fillId="0" borderId="10" pivotButton="0" quotePrefix="0" xfId="0"/>
    <xf numFmtId="166" fontId="6" fillId="3" borderId="1" applyAlignment="1" pivotButton="0" quotePrefix="0" xfId="2">
      <alignment horizontal="right" vertical="center"/>
    </xf>
    <xf numFmtId="165" fontId="6" fillId="3" borderId="1" applyAlignment="1" pivotButton="0" quotePrefix="0" xfId="2">
      <alignment horizontal="right" vertical="center"/>
    </xf>
    <xf numFmtId="166" fontId="5" fillId="0" borderId="1" applyAlignment="1" pivotButton="0" quotePrefix="0" xfId="2">
      <alignment vertical="center"/>
    </xf>
    <xf numFmtId="165" fontId="5" fillId="0" borderId="1" applyAlignment="1" pivotButton="0" quotePrefix="0" xfId="2">
      <alignment vertical="center"/>
    </xf>
    <xf numFmtId="164" fontId="4" fillId="4" borderId="0" applyAlignment="1" pivotButton="0" quotePrefix="0" xfId="0">
      <alignment vertical="center"/>
    </xf>
    <xf numFmtId="164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2">
      <alignment vertical="center"/>
    </xf>
    <xf numFmtId="165" fontId="4" fillId="4" borderId="1" applyAlignment="1" pivotButton="0" quotePrefix="0" xfId="2">
      <alignment vertical="center"/>
    </xf>
    <xf numFmtId="164" fontId="4" fillId="4" borderId="1" applyAlignment="1" pivotButton="0" quotePrefix="0" xfId="0">
      <alignment vertical="center"/>
    </xf>
    <xf numFmtId="167" fontId="5" fillId="0" borderId="0" applyAlignment="1" pivotButton="0" quotePrefix="0" xfId="2">
      <alignment vertical="center"/>
    </xf>
    <xf numFmtId="167" fontId="5" fillId="3" borderId="0" applyAlignment="1" pivotButton="0" quotePrefix="0" xfId="2">
      <alignment vertical="center"/>
    </xf>
    <xf numFmtId="167" fontId="4" fillId="0" borderId="1" applyAlignment="1" pivotButton="0" quotePrefix="0" xfId="2">
      <alignment horizontal="center" vertical="center"/>
    </xf>
    <xf numFmtId="167" fontId="4" fillId="3" borderId="1" applyAlignment="1" pivotButton="0" quotePrefix="0" xfId="2">
      <alignment horizontal="center" vertical="center"/>
    </xf>
    <xf numFmtId="167" fontId="6" fillId="0" borderId="1" applyAlignment="1" pivotButton="0" quotePrefix="0" xfId="2">
      <alignment horizontal="right" vertical="center"/>
    </xf>
    <xf numFmtId="167" fontId="5" fillId="3" borderId="1" applyAlignment="1" pivotButton="0" quotePrefix="0" xfId="2">
      <alignment vertical="center"/>
    </xf>
    <xf numFmtId="167" fontId="6" fillId="3" borderId="1" applyAlignment="1" pivotButton="0" quotePrefix="0" xfId="2">
      <alignment horizontal="right" vertical="center"/>
    </xf>
    <xf numFmtId="167" fontId="5" fillId="0" borderId="1" applyAlignment="1" pivotButton="0" quotePrefix="0" xfId="2">
      <alignment vertical="center"/>
    </xf>
    <xf numFmtId="167" fontId="4" fillId="4" borderId="1" applyAlignment="1" pivotButton="0" quotePrefix="0" xfId="2">
      <alignment vertical="center"/>
    </xf>
    <xf numFmtId="167" fontId="7" fillId="0" borderId="6" applyAlignment="1" pivotButton="0" quotePrefix="0" xfId="2">
      <alignment horizontal="right" vertical="center"/>
    </xf>
    <xf numFmtId="167" fontId="4" fillId="5" borderId="1" applyAlignment="1" pivotButton="0" quotePrefix="0" xfId="2">
      <alignment vertical="center"/>
    </xf>
  </cellXfs>
  <cellStyles count="3">
    <cellStyle name="표준" xfId="0" builtinId="0"/>
    <cellStyle name="백분율" xfId="1" builtinId="5"/>
    <cellStyle name="쉼표 [0]" xfId="2" builtinId="6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K3"/>
  <sheetViews>
    <sheetView workbookViewId="0">
      <selection activeCell="I4" sqref="I4"/>
    </sheetView>
  </sheetViews>
  <sheetFormatPr baseColWidth="8" defaultRowHeight="16.5"/>
  <sheetData>
    <row r="2" ht="93.75" customHeight="1" s="56">
      <c r="B2" s="0" t="inlineStr">
        <is>
          <t xml:space="preserve">2월 </t>
        </is>
      </c>
      <c r="C2" s="46" t="inlineStr">
        <is>
          <t>리커버리 매출 상승하였으나 시스랩 16천개 출고 / 자사(에본, TA팀) 판매 부진
자사(에본, TA팀) 힐링칵테일 1+1으로 리커버리 마이너스 매출 회복</t>
        </is>
      </c>
    </row>
    <row r="3" ht="97.5" customHeight="1" s="56">
      <c r="B3" s="0" t="inlineStr">
        <is>
          <t>3월</t>
        </is>
      </c>
      <c r="C3" s="46" t="inlineStr">
        <is>
          <t>VVS 판매율 상승중 (1월~3월)누적 113% 상승
시스랩 힐링 칵테일 70ml 12000개 출고
밀리맘 브랜드 구성비율 상승 이달 전체 매출의 11% 차지/ 전달 4%</t>
        </is>
      </c>
    </row>
  </sheetData>
  <mergeCells count="2">
    <mergeCell ref="C2:K2"/>
    <mergeCell ref="C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BM53"/>
  <sheetViews>
    <sheetView zoomScaleNormal="100" workbookViewId="0">
      <pane xSplit="2" ySplit="3" topLeftCell="C26" activePane="bottomRight" state="frozen"/>
      <selection pane="topRight" activeCell="C1" sqref="C1"/>
      <selection pane="bottomLeft" activeCell="A4" sqref="A4"/>
      <selection pane="bottomRight" activeCell="C28" sqref="C28"/>
    </sheetView>
  </sheetViews>
  <sheetFormatPr baseColWidth="8" defaultRowHeight="13.5"/>
  <cols>
    <col width="2.875" bestFit="1" customWidth="1" style="57" min="1" max="1"/>
    <col width="21.875" bestFit="1" customWidth="1" style="57" min="2" max="2"/>
    <col width="8.125" bestFit="1" customWidth="1" style="58" min="3" max="4"/>
    <col width="6.375" bestFit="1" customWidth="1" style="3" min="5" max="6"/>
    <col width="5.875" bestFit="1" customWidth="1" style="59" min="7" max="7"/>
    <col width="4.75" bestFit="1" customWidth="1" style="59" min="8" max="8"/>
    <col width="6.375" bestFit="1" customWidth="1" style="3" min="9" max="10"/>
    <col width="9.125" bestFit="1" customWidth="1" style="60" min="11" max="11"/>
    <col width="8.125" bestFit="1" customWidth="1" style="60" min="12" max="12"/>
    <col width="6.375" bestFit="1" customWidth="1" style="4" min="13" max="14"/>
    <col width="5.875" bestFit="1" customWidth="1" style="61" min="15" max="16"/>
    <col width="6.375" bestFit="1" customWidth="1" style="4" min="17" max="18"/>
    <col width="28.375" bestFit="1" customWidth="1" style="57" min="19" max="19"/>
    <col width="9" customWidth="1" style="57" min="20" max="16384"/>
  </cols>
  <sheetData>
    <row r="1">
      <c r="A1" s="62" t="inlineStr">
        <is>
          <t>1. 제품별 판매현황</t>
        </is>
      </c>
      <c r="B1" s="63" t="n"/>
      <c r="R1" s="5" t="n"/>
      <c r="S1" s="64" t="inlineStr">
        <is>
          <t>(개,백만원,%)</t>
        </is>
      </c>
    </row>
    <row r="2" ht="24.75" customFormat="1" customHeight="1" s="65">
      <c r="A2" s="66" t="inlineStr">
        <is>
          <t>구분</t>
        </is>
      </c>
      <c r="B2" s="67" t="n"/>
      <c r="C2" s="68" t="inlineStr">
        <is>
          <t>2월 당월</t>
        </is>
      </c>
      <c r="D2" s="69" t="n"/>
      <c r="E2" s="69" t="n"/>
      <c r="F2" s="69" t="n"/>
      <c r="G2" s="69" t="n"/>
      <c r="H2" s="69" t="n"/>
      <c r="I2" s="69" t="n"/>
      <c r="J2" s="70" t="n"/>
      <c r="K2" s="71" t="inlineStr">
        <is>
          <t>2월 누계</t>
        </is>
      </c>
      <c r="L2" s="69" t="n"/>
      <c r="M2" s="69" t="n"/>
      <c r="N2" s="69" t="n"/>
      <c r="O2" s="69" t="n"/>
      <c r="P2" s="69" t="n"/>
      <c r="Q2" s="69" t="n"/>
      <c r="R2" s="70" t="n"/>
      <c r="S2" s="66" t="inlineStr">
        <is>
          <t>비고</t>
        </is>
      </c>
    </row>
    <row r="3" ht="19.5" customFormat="1" customHeight="1" s="65">
      <c r="A3" s="72" t="n"/>
      <c r="B3" s="73" t="n"/>
      <c r="C3" s="74" t="inlineStr">
        <is>
          <t>수량</t>
        </is>
      </c>
      <c r="D3" s="74" t="inlineStr">
        <is>
          <t>전년</t>
        </is>
      </c>
      <c r="E3" s="24" t="inlineStr">
        <is>
          <t>증감</t>
        </is>
      </c>
      <c r="F3" s="24" t="inlineStr">
        <is>
          <t>구성비</t>
        </is>
      </c>
      <c r="G3" s="75" t="inlineStr">
        <is>
          <t>금액</t>
        </is>
      </c>
      <c r="H3" s="75" t="inlineStr">
        <is>
          <t>전년</t>
        </is>
      </c>
      <c r="I3" s="24" t="inlineStr">
        <is>
          <t>YOY</t>
        </is>
      </c>
      <c r="J3" s="24" t="inlineStr">
        <is>
          <t>구성비</t>
        </is>
      </c>
      <c r="K3" s="76" t="inlineStr">
        <is>
          <t>수량</t>
        </is>
      </c>
      <c r="L3" s="76" t="inlineStr">
        <is>
          <t>전년</t>
        </is>
      </c>
      <c r="M3" s="25" t="inlineStr">
        <is>
          <t>YOY</t>
        </is>
      </c>
      <c r="N3" s="25" t="inlineStr">
        <is>
          <t>구성비</t>
        </is>
      </c>
      <c r="O3" s="77" t="inlineStr">
        <is>
          <t>금액</t>
        </is>
      </c>
      <c r="P3" s="77" t="inlineStr">
        <is>
          <t>전년</t>
        </is>
      </c>
      <c r="Q3" s="25" t="inlineStr">
        <is>
          <t>YOY</t>
        </is>
      </c>
      <c r="R3" s="25" t="inlineStr">
        <is>
          <t>구성비</t>
        </is>
      </c>
      <c r="S3" s="78" t="n"/>
    </row>
    <row r="4" ht="16.5" customHeight="1" s="56">
      <c r="A4" s="79" t="inlineStr">
        <is>
          <t>트로이아르케</t>
        </is>
      </c>
      <c r="B4" s="80" t="inlineStr">
        <is>
          <t>트로이필(웨폰키트)</t>
        </is>
      </c>
      <c r="C4" s="81" t="n">
        <v>81</v>
      </c>
      <c r="D4" s="81" t="n">
        <v>300</v>
      </c>
      <c r="E4" s="8">
        <f>(C4-D4)/D4</f>
        <v/>
      </c>
      <c r="F4" s="8">
        <f>C4/$C$23</f>
        <v/>
      </c>
      <c r="G4" s="82" t="n">
        <v>9360000</v>
      </c>
      <c r="H4" s="82" t="n">
        <v>10872500</v>
      </c>
      <c r="I4" s="8">
        <f>(G4-H4)/H4</f>
        <v/>
      </c>
      <c r="J4" s="8">
        <f>G4/$G$23</f>
        <v/>
      </c>
      <c r="K4" s="83" t="n">
        <v>291</v>
      </c>
      <c r="L4" s="83" t="n">
        <v>328</v>
      </c>
      <c r="M4" s="9">
        <f>(K4-L4)/L4</f>
        <v/>
      </c>
      <c r="N4" s="9">
        <f>K4/$K$23</f>
        <v/>
      </c>
      <c r="O4" s="84" t="n">
        <v>31320000</v>
      </c>
      <c r="P4" s="84" t="n">
        <v>15012500</v>
      </c>
      <c r="Q4" s="9">
        <f>(O4-P4)/P4</f>
        <v/>
      </c>
      <c r="R4" s="9">
        <f>O4/$O$23</f>
        <v/>
      </c>
      <c r="S4" s="85" t="n"/>
    </row>
    <row r="5" ht="16.5" customHeight="1" s="56">
      <c r="A5" s="86" t="n"/>
      <c r="B5" s="80" t="inlineStr">
        <is>
          <t>VVS키트</t>
        </is>
      </c>
      <c r="C5" s="81" t="n">
        <v>49</v>
      </c>
      <c r="D5" s="81" t="n">
        <v>141</v>
      </c>
      <c r="E5" s="8">
        <f>(C5-D5)/D5</f>
        <v/>
      </c>
      <c r="F5" s="8">
        <f>C5/$C$23</f>
        <v/>
      </c>
      <c r="G5" s="82" t="n">
        <v>4500000</v>
      </c>
      <c r="H5" s="82" t="n">
        <v>10411200</v>
      </c>
      <c r="I5" s="8">
        <f>(G5-H5)/H5</f>
        <v/>
      </c>
      <c r="J5" s="8">
        <f>G5/$G$23</f>
        <v/>
      </c>
      <c r="K5" s="83" t="n">
        <v>571</v>
      </c>
      <c r="L5" s="87" t="n">
        <v>437</v>
      </c>
      <c r="M5" s="9">
        <f>(K5-L5)/L5</f>
        <v/>
      </c>
      <c r="N5" s="9">
        <f>K5/$K$23</f>
        <v/>
      </c>
      <c r="O5" s="84" t="n">
        <v>46440000</v>
      </c>
      <c r="P5" s="88" t="n">
        <v>28706400</v>
      </c>
      <c r="Q5" s="9">
        <f>(O5-P5)/P5</f>
        <v/>
      </c>
      <c r="R5" s="9">
        <f>O5/$O$23</f>
        <v/>
      </c>
      <c r="S5" s="85" t="n"/>
    </row>
    <row r="6" ht="16.5" customHeight="1" s="56">
      <c r="A6" s="86" t="n"/>
      <c r="B6" s="80" t="inlineStr">
        <is>
          <t>힐링칵테일</t>
        </is>
      </c>
      <c r="C6" s="89" t="n">
        <v>4626</v>
      </c>
      <c r="D6" s="89" t="n">
        <v>296</v>
      </c>
      <c r="E6" s="8">
        <f>(C6-D6)/D6</f>
        <v/>
      </c>
      <c r="F6" s="8">
        <f>C6/$C$23</f>
        <v/>
      </c>
      <c r="G6" s="90" t="n">
        <v>395961900</v>
      </c>
      <c r="H6" s="90" t="n">
        <v>15214800</v>
      </c>
      <c r="I6" s="8">
        <f>(G6-H6)/H6</f>
        <v/>
      </c>
      <c r="J6" s="8">
        <f>G6/$G$23</f>
        <v/>
      </c>
      <c r="K6" s="83" t="n">
        <v>7644</v>
      </c>
      <c r="L6" s="83" t="n">
        <v>976</v>
      </c>
      <c r="M6" s="9">
        <f>(K6-L6)/L6</f>
        <v/>
      </c>
      <c r="N6" s="9">
        <f>K6/$K$23</f>
        <v/>
      </c>
      <c r="O6" s="84" t="n">
        <v>537477100</v>
      </c>
      <c r="P6" s="84" t="n">
        <v>47844200</v>
      </c>
      <c r="Q6" s="9">
        <f>(O6-P6)/P6</f>
        <v/>
      </c>
      <c r="R6" s="9">
        <f>O6/$O$23</f>
        <v/>
      </c>
      <c r="S6" s="85" t="n"/>
    </row>
    <row r="7" ht="16.5" customHeight="1" s="56">
      <c r="A7" s="86" t="n"/>
      <c r="B7" s="80" t="inlineStr">
        <is>
          <t>악센 리커버리</t>
        </is>
      </c>
      <c r="C7" s="89" t="n">
        <v>21489</v>
      </c>
      <c r="D7" s="89" t="n">
        <v>4210</v>
      </c>
      <c r="E7" s="8">
        <f>(C7-D7)/D7</f>
        <v/>
      </c>
      <c r="F7" s="8">
        <f>C7/$C$23</f>
        <v/>
      </c>
      <c r="G7" s="90" t="n">
        <v>625196600</v>
      </c>
      <c r="H7" s="90" t="n">
        <v>408091600</v>
      </c>
      <c r="I7" s="8">
        <f>(G7-H7)/H7</f>
        <v/>
      </c>
      <c r="J7" s="8">
        <f>G7/$G$23</f>
        <v/>
      </c>
      <c r="K7" s="83" t="n">
        <v>29554</v>
      </c>
      <c r="L7" s="83" t="n">
        <v>20615</v>
      </c>
      <c r="M7" s="9">
        <f>(K7-L7)/L7</f>
        <v/>
      </c>
      <c r="N7" s="9">
        <f>K7/$K$23</f>
        <v/>
      </c>
      <c r="O7" s="84" t="n">
        <v>913920600</v>
      </c>
      <c r="P7" s="84" t="n">
        <v>858134600</v>
      </c>
      <c r="Q7" s="9">
        <f>(O7-P7)/P7</f>
        <v/>
      </c>
      <c r="R7" s="9">
        <f>O7/$O$23</f>
        <v/>
      </c>
      <c r="S7" s="85" t="inlineStr">
        <is>
          <t>일본 리뉴크림 포함(16000개 판매)</t>
        </is>
      </c>
    </row>
    <row r="8" ht="16.5" customHeight="1" s="56">
      <c r="A8" s="86" t="n"/>
      <c r="B8" s="80" t="inlineStr">
        <is>
          <t>악센 오일컷클렌징</t>
        </is>
      </c>
      <c r="C8" s="89" t="n">
        <v>338</v>
      </c>
      <c r="D8" s="89" t="n">
        <v>455</v>
      </c>
      <c r="E8" s="8">
        <f>(C8-D8)/D8</f>
        <v/>
      </c>
      <c r="F8" s="8">
        <f>C8/$C$23</f>
        <v/>
      </c>
      <c r="G8" s="90" t="n">
        <v>19790700</v>
      </c>
      <c r="H8" s="90" t="n">
        <v>12889200</v>
      </c>
      <c r="I8" s="8">
        <f>(G8-H8)/H8</f>
        <v/>
      </c>
      <c r="J8" s="8">
        <f>G8/$G$23</f>
        <v/>
      </c>
      <c r="K8" s="83" t="n">
        <v>3270</v>
      </c>
      <c r="L8" s="83" t="n">
        <v>2400</v>
      </c>
      <c r="M8" s="9">
        <f>(K8-L8)/L8</f>
        <v/>
      </c>
      <c r="N8" s="9">
        <f>K8/$K$23</f>
        <v/>
      </c>
      <c r="O8" s="84" t="n">
        <v>100280800</v>
      </c>
      <c r="P8" s="84" t="n">
        <v>32973400</v>
      </c>
      <c r="Q8" s="9">
        <f>(O8-P8)/P8</f>
        <v/>
      </c>
      <c r="R8" s="9">
        <f>O8/$O$23</f>
        <v/>
      </c>
      <c r="S8" s="85" t="n"/>
    </row>
    <row r="9" ht="16.5" customHeight="1" s="56">
      <c r="A9" s="86" t="n"/>
      <c r="B9" s="80" t="inlineStr">
        <is>
          <t>AGT하이드로 크림</t>
        </is>
      </c>
      <c r="C9" s="81" t="n">
        <v>107</v>
      </c>
      <c r="D9" s="81" t="n">
        <v>90</v>
      </c>
      <c r="E9" s="8">
        <f>(C9-D9)/D9</f>
        <v/>
      </c>
      <c r="F9" s="8">
        <f>C9/$C$23</f>
        <v/>
      </c>
      <c r="G9" s="82" t="n">
        <v>4107900</v>
      </c>
      <c r="H9" s="90" t="n">
        <v>4417800</v>
      </c>
      <c r="I9" s="8">
        <f>(G9-H9)/H9</f>
        <v/>
      </c>
      <c r="J9" s="8">
        <f>G9/$G$23</f>
        <v/>
      </c>
      <c r="K9" s="87" t="n">
        <v>498</v>
      </c>
      <c r="L9" s="83" t="n">
        <v>243</v>
      </c>
      <c r="M9" s="9">
        <f>(K9-L9)/L9</f>
        <v/>
      </c>
      <c r="N9" s="9">
        <f>K9/$K$23</f>
        <v/>
      </c>
      <c r="O9" s="88" t="n">
        <v>12383900</v>
      </c>
      <c r="P9" s="84" t="n">
        <v>7410600</v>
      </c>
      <c r="Q9" s="9">
        <f>(O9-P9)/P9</f>
        <v/>
      </c>
      <c r="R9" s="9">
        <f>O9/$O$23</f>
        <v/>
      </c>
      <c r="S9" s="85" t="n"/>
    </row>
    <row r="10" ht="16.5" customHeight="1" s="56">
      <c r="A10" s="86" t="n"/>
      <c r="B10" s="80" t="inlineStr">
        <is>
          <t>악센 센앰플</t>
        </is>
      </c>
      <c r="C10" s="89" t="n">
        <v>54</v>
      </c>
      <c r="D10" s="89" t="n">
        <v>752</v>
      </c>
      <c r="E10" s="8">
        <f>(C10-D10)/D10</f>
        <v/>
      </c>
      <c r="F10" s="8">
        <f>C10/$C$23</f>
        <v/>
      </c>
      <c r="G10" s="90" t="n">
        <v>3810000</v>
      </c>
      <c r="H10" s="90" t="n">
        <v>6092500</v>
      </c>
      <c r="I10" s="8">
        <f>(G10-H10)/H10</f>
        <v/>
      </c>
      <c r="J10" s="8">
        <f>G10/$G$23</f>
        <v/>
      </c>
      <c r="K10" s="83" t="n">
        <v>116</v>
      </c>
      <c r="L10" s="87" t="n">
        <v>1143</v>
      </c>
      <c r="M10" s="9">
        <f>(K10-L10)/L10</f>
        <v/>
      </c>
      <c r="N10" s="9">
        <f>K10/$K$23</f>
        <v/>
      </c>
      <c r="O10" s="84" t="n">
        <v>7858500</v>
      </c>
      <c r="P10" s="88" t="n">
        <v>8633000</v>
      </c>
      <c r="Q10" s="9">
        <f>(O10-P10)/P10</f>
        <v/>
      </c>
      <c r="R10" s="9">
        <f>O10/$O$23</f>
        <v/>
      </c>
      <c r="S10" s="85" t="n"/>
    </row>
    <row r="11" ht="16.5" customHeight="1" s="56">
      <c r="A11" s="86" t="n"/>
      <c r="B11" s="80" t="inlineStr">
        <is>
          <t>AGT하이드로 에센스</t>
        </is>
      </c>
      <c r="C11" s="89" t="n">
        <v>9142</v>
      </c>
      <c r="D11" s="89" t="n">
        <v>549</v>
      </c>
      <c r="E11" s="8">
        <f>(C11-D11)/D11</f>
        <v/>
      </c>
      <c r="F11" s="8">
        <f>C11/$C$23</f>
        <v/>
      </c>
      <c r="G11" s="90" t="n">
        <v>39195800</v>
      </c>
      <c r="H11" s="90" t="n">
        <v>13222400</v>
      </c>
      <c r="I11" s="8">
        <f>(G11-H11)/H11</f>
        <v/>
      </c>
      <c r="J11" s="8">
        <f>G11/$G$23</f>
        <v/>
      </c>
      <c r="K11" s="83" t="n">
        <v>10252</v>
      </c>
      <c r="L11" s="83" t="n">
        <v>1818</v>
      </c>
      <c r="M11" s="9">
        <f>(K11-L11)/L11</f>
        <v/>
      </c>
      <c r="N11" s="9">
        <f>K11/$K$23</f>
        <v/>
      </c>
      <c r="O11" s="84" t="n">
        <v>61615700</v>
      </c>
      <c r="P11" s="84" t="n">
        <v>26365400</v>
      </c>
      <c r="Q11" s="9">
        <f>(O11-P11)/P11</f>
        <v/>
      </c>
      <c r="R11" s="9">
        <f>O11/$O$23</f>
        <v/>
      </c>
      <c r="S11" s="85" t="n"/>
    </row>
    <row r="12" ht="16.5" customHeight="1" s="56">
      <c r="A12" s="86" t="n"/>
      <c r="B12" s="80" t="inlineStr">
        <is>
          <t>에너지크림</t>
        </is>
      </c>
      <c r="C12" s="89" t="n">
        <v>116</v>
      </c>
      <c r="D12" s="89" t="n">
        <v>247</v>
      </c>
      <c r="E12" s="8">
        <f>(C12-D12)/D12</f>
        <v/>
      </c>
      <c r="F12" s="8">
        <f>C12/$C$23</f>
        <v/>
      </c>
      <c r="G12" s="90" t="n">
        <v>7185840</v>
      </c>
      <c r="H12" s="90" t="n">
        <v>5919500</v>
      </c>
      <c r="I12" s="8">
        <f>(G12-H12)/H12</f>
        <v/>
      </c>
      <c r="J12" s="8">
        <f>G12/$G$23</f>
        <v/>
      </c>
      <c r="K12" s="83" t="n">
        <v>2066</v>
      </c>
      <c r="L12" s="83" t="n">
        <v>518</v>
      </c>
      <c r="M12" s="9">
        <f>(K12-L12)/L12</f>
        <v/>
      </c>
      <c r="N12" s="9">
        <f>K12/$K$23</f>
        <v/>
      </c>
      <c r="O12" s="84" t="n">
        <v>33717560</v>
      </c>
      <c r="P12" s="84" t="n">
        <v>26725900</v>
      </c>
      <c r="Q12" s="9">
        <f>(O12-P12)/P12</f>
        <v/>
      </c>
      <c r="R12" s="9">
        <f>O12/$O$23</f>
        <v/>
      </c>
      <c r="S12" s="85" t="n"/>
    </row>
    <row r="13" ht="16.5" customHeight="1" s="56">
      <c r="A13" s="86" t="n"/>
      <c r="B13" s="80" t="inlineStr">
        <is>
          <t>쉴드크림</t>
        </is>
      </c>
      <c r="C13" s="89" t="n">
        <v>157</v>
      </c>
      <c r="D13" s="89" t="n">
        <v>602</v>
      </c>
      <c r="E13" s="8">
        <f>(C13-D13)/D13</f>
        <v/>
      </c>
      <c r="F13" s="8">
        <f>C13/$C$23</f>
        <v/>
      </c>
      <c r="G13" s="90" t="n">
        <v>6481800</v>
      </c>
      <c r="H13" s="90" t="n">
        <v>3621800</v>
      </c>
      <c r="I13" s="8">
        <f>(G13-H13)/H13</f>
        <v/>
      </c>
      <c r="J13" s="8">
        <f>G13/$G$23</f>
        <v/>
      </c>
      <c r="K13" s="83" t="n">
        <v>2563</v>
      </c>
      <c r="L13" s="83" t="n">
        <v>577</v>
      </c>
      <c r="M13" s="9">
        <f>(K13-L13)/L13</f>
        <v/>
      </c>
      <c r="N13" s="9">
        <f>K13/$K$23</f>
        <v/>
      </c>
      <c r="O13" s="84" t="n">
        <v>46971000</v>
      </c>
      <c r="P13" s="84" t="n">
        <v>6709300</v>
      </c>
      <c r="Q13" s="9">
        <f>(O13-P13)/P13</f>
        <v/>
      </c>
      <c r="R13" s="9">
        <f>O13/$O$23</f>
        <v/>
      </c>
      <c r="S13" s="85" t="n"/>
    </row>
    <row r="14" ht="16.5" customHeight="1" s="56">
      <c r="A14" s="86" t="n"/>
      <c r="B14" s="80" t="inlineStr">
        <is>
          <t>아이크림</t>
        </is>
      </c>
      <c r="C14" s="89" t="n">
        <v>66</v>
      </c>
      <c r="D14" s="89" t="n">
        <v>7</v>
      </c>
      <c r="E14" s="8">
        <f>(C14-D14)/D14</f>
        <v/>
      </c>
      <c r="F14" s="8">
        <f>C14/$C$23</f>
        <v/>
      </c>
      <c r="G14" s="90" t="n">
        <v>10998100</v>
      </c>
      <c r="H14" s="90" t="n">
        <v>556000</v>
      </c>
      <c r="I14" s="8">
        <f>(G14-H14)/H14</f>
        <v/>
      </c>
      <c r="J14" s="8">
        <f>G14/$G$23</f>
        <v/>
      </c>
      <c r="K14" s="83" t="n">
        <v>752</v>
      </c>
      <c r="L14" s="83" t="n">
        <v>573</v>
      </c>
      <c r="M14" s="9">
        <f>(K14-L14)/L14</f>
        <v/>
      </c>
      <c r="N14" s="9">
        <f>K14/$K$23</f>
        <v/>
      </c>
      <c r="O14" s="84" t="n">
        <v>17896600</v>
      </c>
      <c r="P14" s="84" t="n">
        <v>5820000</v>
      </c>
      <c r="Q14" s="9">
        <f>(O14-P14)/P14</f>
        <v/>
      </c>
      <c r="R14" s="9">
        <f>O14/$O$23</f>
        <v/>
      </c>
      <c r="S14" s="85" t="n"/>
    </row>
    <row r="15" ht="16.5" customHeight="1" s="56">
      <c r="A15" s="86" t="n"/>
      <c r="B15" s="80" t="inlineStr">
        <is>
          <t>악센 AC스팟솔루션</t>
        </is>
      </c>
      <c r="C15" s="89" t="n">
        <v>40</v>
      </c>
      <c r="D15" s="89" t="n">
        <v>143</v>
      </c>
      <c r="E15" s="8">
        <f>(C15-D15)/D15</f>
        <v/>
      </c>
      <c r="F15" s="8">
        <f>C15/$C$23</f>
        <v/>
      </c>
      <c r="G15" s="90" t="n">
        <v>2124000</v>
      </c>
      <c r="H15" s="90" t="n">
        <v>2703500</v>
      </c>
      <c r="I15" s="8">
        <f>(G15-H15)/H15</f>
        <v/>
      </c>
      <c r="J15" s="8">
        <f>G15/$G$23</f>
        <v/>
      </c>
      <c r="K15" s="83" t="n">
        <v>76</v>
      </c>
      <c r="L15" s="83" t="n">
        <v>322</v>
      </c>
      <c r="M15" s="9">
        <f>(K15-L15)/L15</f>
        <v/>
      </c>
      <c r="N15" s="9">
        <f>K15/$K$23</f>
        <v/>
      </c>
      <c r="O15" s="84" t="n">
        <v>3486900</v>
      </c>
      <c r="P15" s="84" t="n">
        <v>4818300</v>
      </c>
      <c r="Q15" s="9">
        <f>(O15-P15)/P15</f>
        <v/>
      </c>
      <c r="R15" s="9">
        <f>O15/$O$23</f>
        <v/>
      </c>
      <c r="S15" s="85" t="n"/>
    </row>
    <row r="16" ht="16.5" customHeight="1" s="56">
      <c r="A16" s="86" t="n"/>
      <c r="B16" s="80" t="inlineStr">
        <is>
          <t>악센 UV 프로텍터에센스</t>
        </is>
      </c>
      <c r="C16" s="89" t="n">
        <v>495</v>
      </c>
      <c r="D16" s="89" t="n">
        <v>295</v>
      </c>
      <c r="E16" s="8">
        <f>(C16-D16)/D16</f>
        <v/>
      </c>
      <c r="F16" s="8">
        <f>C16/$C$23</f>
        <v/>
      </c>
      <c r="G16" s="90" t="n">
        <v>18446400</v>
      </c>
      <c r="H16" s="90" t="n">
        <v>3095000</v>
      </c>
      <c r="I16" s="8">
        <f>(G16-H16)/H16</f>
        <v/>
      </c>
      <c r="J16" s="8">
        <f>G16/$G$23</f>
        <v/>
      </c>
      <c r="K16" s="83" t="n">
        <v>1803</v>
      </c>
      <c r="L16" s="83" t="n">
        <v>361</v>
      </c>
      <c r="M16" s="9">
        <f>(K16-L16)/L16</f>
        <v/>
      </c>
      <c r="N16" s="9">
        <f>K16/$K$23</f>
        <v/>
      </c>
      <c r="O16" s="84" t="n">
        <v>49229750</v>
      </c>
      <c r="P16" s="84" t="n">
        <v>5128000</v>
      </c>
      <c r="Q16" s="9">
        <f>(O16-P16)/P16</f>
        <v/>
      </c>
      <c r="R16" s="9">
        <f>O16/$O$23</f>
        <v/>
      </c>
      <c r="S16" s="85" t="n"/>
    </row>
    <row r="17" ht="16.5" customHeight="1" s="56">
      <c r="A17" s="86" t="n"/>
      <c r="B17" s="80" t="inlineStr">
        <is>
          <t>인텐스 UV프로텍터크림</t>
        </is>
      </c>
      <c r="C17" s="89" t="n">
        <v>111</v>
      </c>
      <c r="D17" s="89" t="n">
        <v>39</v>
      </c>
      <c r="E17" s="8">
        <f>(C17-D17)/D17</f>
        <v/>
      </c>
      <c r="F17" s="8">
        <f>C17/$C$23</f>
        <v/>
      </c>
      <c r="G17" s="90" t="n">
        <v>5386260</v>
      </c>
      <c r="H17" s="90" t="n">
        <v>1314370</v>
      </c>
      <c r="I17" s="8">
        <f>(G17-H17)/H17</f>
        <v/>
      </c>
      <c r="J17" s="8">
        <f>G17/$G$23</f>
        <v/>
      </c>
      <c r="K17" s="83" t="n">
        <v>442</v>
      </c>
      <c r="L17" s="83" t="n">
        <v>57</v>
      </c>
      <c r="M17" s="9">
        <f>(K17-L17)/L17</f>
        <v/>
      </c>
      <c r="N17" s="9">
        <f>K17/$K$23</f>
        <v/>
      </c>
      <c r="O17" s="84" t="n">
        <v>16608260</v>
      </c>
      <c r="P17" s="84" t="n">
        <v>2323360</v>
      </c>
      <c r="Q17" s="9">
        <f>(O17-P17)/P17</f>
        <v/>
      </c>
      <c r="R17" s="9">
        <f>O17/$O$23</f>
        <v/>
      </c>
      <c r="S17" s="85" t="n"/>
    </row>
    <row r="18" ht="16.5" customHeight="1" s="56">
      <c r="A18" s="86" t="n"/>
      <c r="B18" s="80" t="inlineStr">
        <is>
          <t>멜라C인퓨저</t>
        </is>
      </c>
      <c r="C18" s="89" t="n"/>
      <c r="D18" s="89" t="n">
        <v>1339</v>
      </c>
      <c r="E18" s="8">
        <f>(C18-D18)/D18</f>
        <v/>
      </c>
      <c r="F18" s="8">
        <f>C18/$C$23</f>
        <v/>
      </c>
      <c r="G18" s="90" t="n"/>
      <c r="H18" s="82" t="n">
        <v>55675400</v>
      </c>
      <c r="I18" s="8">
        <f>(G18-H18)/H18</f>
        <v/>
      </c>
      <c r="J18" s="8">
        <f>G18/$G$23</f>
        <v/>
      </c>
      <c r="K18" s="83" t="n"/>
      <c r="L18" s="83" t="n">
        <v>1520</v>
      </c>
      <c r="M18" s="9">
        <f>(K18-L18)/L18</f>
        <v/>
      </c>
      <c r="N18" s="9">
        <f>K18/$K$23</f>
        <v/>
      </c>
      <c r="O18" s="84" t="n"/>
      <c r="P18" s="84" t="n">
        <v>57505400</v>
      </c>
      <c r="Q18" s="9">
        <f>(O18-P18)/P18</f>
        <v/>
      </c>
      <c r="R18" s="9">
        <f>O18/$O$23</f>
        <v/>
      </c>
      <c r="S18" s="85" t="n"/>
    </row>
    <row r="19" ht="16.5" customHeight="1" s="56">
      <c r="A19" s="86" t="n"/>
      <c r="B19" s="80" t="inlineStr">
        <is>
          <t>GPS마스크 3종</t>
        </is>
      </c>
      <c r="C19" s="89" t="n">
        <v>1891</v>
      </c>
      <c r="D19" s="89" t="n">
        <v>17212</v>
      </c>
      <c r="E19" s="8">
        <f>(C19-D19)/D19</f>
        <v/>
      </c>
      <c r="F19" s="8">
        <f>C19/$C$23</f>
        <v/>
      </c>
      <c r="G19" s="90" t="n">
        <v>8278000</v>
      </c>
      <c r="H19" s="90" t="n">
        <v>49639900</v>
      </c>
      <c r="I19" s="8">
        <f>(G19-H19)/H19</f>
        <v/>
      </c>
      <c r="J19" s="8">
        <f>G19/$G$23</f>
        <v/>
      </c>
      <c r="K19" s="83" t="n">
        <v>4370</v>
      </c>
      <c r="L19" s="83" t="n">
        <v>27243</v>
      </c>
      <c r="M19" s="9">
        <f>(K19-L19)/L19</f>
        <v/>
      </c>
      <c r="N19" s="9">
        <f>K19/$K$23</f>
        <v/>
      </c>
      <c r="O19" s="84" t="n">
        <v>16918000</v>
      </c>
      <c r="P19" s="84" t="n">
        <v>59379400</v>
      </c>
      <c r="Q19" s="9">
        <f>(O19-P19)/P19</f>
        <v/>
      </c>
      <c r="R19" s="9">
        <f>O19/$O$23</f>
        <v/>
      </c>
      <c r="S19" s="85" t="n"/>
    </row>
    <row r="20" ht="16.5" customHeight="1" s="56">
      <c r="A20" s="86" t="n"/>
      <c r="B20" s="80" t="inlineStr">
        <is>
          <t>에스테틱 비비크림</t>
        </is>
      </c>
      <c r="C20" s="89" t="n">
        <v>615</v>
      </c>
      <c r="D20" s="89" t="n">
        <v>796</v>
      </c>
      <c r="E20" s="8">
        <f>(C20-D20)/D20</f>
        <v/>
      </c>
      <c r="F20" s="8">
        <f>C20/$C$23</f>
        <v/>
      </c>
      <c r="G20" s="90" t="n">
        <v>23395800</v>
      </c>
      <c r="H20" s="90" t="n">
        <v>34668400</v>
      </c>
      <c r="I20" s="8">
        <f>(G20-H20)/H20</f>
        <v/>
      </c>
      <c r="J20" s="8">
        <f>G20/$G$23</f>
        <v/>
      </c>
      <c r="K20" s="83" t="n">
        <v>2030</v>
      </c>
      <c r="L20" s="83" t="n">
        <v>1244</v>
      </c>
      <c r="M20" s="9">
        <f>(K20-L20)/L20</f>
        <v/>
      </c>
      <c r="N20" s="9">
        <f>K20/$K$23</f>
        <v/>
      </c>
      <c r="O20" s="84" t="n">
        <v>50905800</v>
      </c>
      <c r="P20" s="84" t="n">
        <v>58794400</v>
      </c>
      <c r="Q20" s="9">
        <f>(O20-P20)/P20</f>
        <v/>
      </c>
      <c r="R20" s="9">
        <f>O20/$O$23</f>
        <v/>
      </c>
      <c r="S20" s="85" t="n"/>
    </row>
    <row r="21" ht="16.5" customHeight="1" s="56">
      <c r="A21" s="86" t="n"/>
      <c r="B21" s="80" t="inlineStr">
        <is>
          <t>트로이아르케쿠션</t>
        </is>
      </c>
      <c r="C21" s="89" t="n">
        <v>810</v>
      </c>
      <c r="D21" s="89" t="n">
        <v>380</v>
      </c>
      <c r="E21" s="8">
        <f>(C21-D21)/D21</f>
        <v/>
      </c>
      <c r="F21" s="8">
        <f>C21/$C$23</f>
        <v/>
      </c>
      <c r="G21" s="90" t="n">
        <v>9701600</v>
      </c>
      <c r="H21" s="90" t="n">
        <v>6187000</v>
      </c>
      <c r="I21" s="8">
        <f>(G21-H21)/H21</f>
        <v/>
      </c>
      <c r="J21" s="8">
        <f>G21/$G$23</f>
        <v/>
      </c>
      <c r="K21" s="83" t="n">
        <v>1161</v>
      </c>
      <c r="L21" s="83" t="n">
        <v>1528</v>
      </c>
      <c r="M21" s="9">
        <f>(K21-L21)/L21</f>
        <v/>
      </c>
      <c r="N21" s="9">
        <f>K21/$K$23</f>
        <v/>
      </c>
      <c r="O21" s="84" t="n">
        <v>16649600</v>
      </c>
      <c r="P21" s="84" t="n">
        <v>17750600</v>
      </c>
      <c r="Q21" s="9">
        <f>(O21-P21)/P21</f>
        <v/>
      </c>
      <c r="R21" s="9">
        <f>O21/$O$23</f>
        <v/>
      </c>
      <c r="S21" s="85" t="n"/>
    </row>
    <row r="22" ht="16.5" customHeight="1" s="56">
      <c r="A22" s="86" t="n"/>
      <c r="B22" s="80" t="inlineStr">
        <is>
          <t>기타(링플, 샤쉐, LD, 악센)</t>
        </is>
      </c>
      <c r="C22" s="89" t="n">
        <v>2335</v>
      </c>
      <c r="D22" s="89" t="n">
        <v>3958</v>
      </c>
      <c r="E22" s="8">
        <f>(C22-D22)/D22</f>
        <v/>
      </c>
      <c r="F22" s="8">
        <f>C22/$C$23</f>
        <v/>
      </c>
      <c r="G22" s="90" t="n">
        <v>46005550</v>
      </c>
      <c r="H22" s="90" t="n">
        <v>55426200</v>
      </c>
      <c r="I22" s="8">
        <f>(G22-H22)/H22</f>
        <v/>
      </c>
      <c r="J22" s="8">
        <f>G22/$G$23</f>
        <v/>
      </c>
      <c r="K22" s="83" t="n">
        <v>9314</v>
      </c>
      <c r="L22" s="83" t="n">
        <v>12620</v>
      </c>
      <c r="M22" s="9">
        <f>(K22-L22)/L22</f>
        <v/>
      </c>
      <c r="N22" s="9">
        <f>K22/$K$23</f>
        <v/>
      </c>
      <c r="O22" s="84" t="n">
        <v>137054650</v>
      </c>
      <c r="P22" s="84" t="n">
        <v>191044400</v>
      </c>
      <c r="Q22" s="9">
        <f>(O22-P22)/P22</f>
        <v/>
      </c>
      <c r="R22" s="9">
        <f>O22/$O$23</f>
        <v/>
      </c>
      <c r="S22" s="85" t="n"/>
    </row>
    <row r="23" ht="16.5" customFormat="1" customHeight="1" s="91">
      <c r="A23" s="78" t="n"/>
      <c r="B23" s="92" t="inlineStr">
        <is>
          <t>소계</t>
        </is>
      </c>
      <c r="C23" s="93">
        <f>SUM(C4:C22)</f>
        <v/>
      </c>
      <c r="D23" s="93" t="n">
        <v>31811</v>
      </c>
      <c r="E23" s="20">
        <f>(C23-D23)/D23</f>
        <v/>
      </c>
      <c r="F23" s="20">
        <f>C23/$C$52</f>
        <v/>
      </c>
      <c r="G23" s="94">
        <f>SUM(G4:G22)</f>
        <v/>
      </c>
      <c r="H23" s="94">
        <f>SUM(H4:H22)</f>
        <v/>
      </c>
      <c r="I23" s="20">
        <f>(G23-H23)/H23</f>
        <v/>
      </c>
      <c r="J23" s="20">
        <f>G23/$G$52</f>
        <v/>
      </c>
      <c r="K23" s="93">
        <f>SUM(K4:K22)</f>
        <v/>
      </c>
      <c r="L23" s="93">
        <f>SUM(L4:L22)</f>
        <v/>
      </c>
      <c r="M23" s="20">
        <f>(K23-L23)/L23</f>
        <v/>
      </c>
      <c r="N23" s="20">
        <f>K23/$K$52</f>
        <v/>
      </c>
      <c r="O23" s="94">
        <f>SUM(O4:O22)</f>
        <v/>
      </c>
      <c r="P23" s="94">
        <f>SUM(P4:P22)</f>
        <v/>
      </c>
      <c r="Q23" s="20">
        <f>(O23-P23)/P23</f>
        <v/>
      </c>
      <c r="R23" s="20">
        <f>O23/$O$52</f>
        <v/>
      </c>
      <c r="S23" s="95" t="n"/>
      <c r="T23" s="65" t="n"/>
      <c r="U23" s="65" t="n"/>
      <c r="V23" s="65" t="n"/>
      <c r="W23" s="65" t="n"/>
      <c r="X23" s="65" t="n"/>
      <c r="Y23" s="65" t="n"/>
      <c r="Z23" s="65" t="n"/>
      <c r="AA23" s="65" t="n"/>
      <c r="AB23" s="65" t="n"/>
      <c r="AC23" s="65" t="n"/>
      <c r="AD23" s="65" t="n"/>
      <c r="AE23" s="65" t="n"/>
      <c r="AF23" s="65" t="n"/>
      <c r="AG23" s="65" t="n"/>
      <c r="AH23" s="65" t="n"/>
      <c r="AI23" s="65" t="n"/>
      <c r="AJ23" s="65" t="n"/>
      <c r="AK23" s="65" t="n"/>
      <c r="AL23" s="65" t="n"/>
      <c r="AM23" s="65" t="n"/>
      <c r="AN23" s="65" t="n"/>
      <c r="AO23" s="65" t="n"/>
      <c r="AP23" s="65" t="n"/>
      <c r="AQ23" s="65" t="n"/>
      <c r="AR23" s="65" t="n"/>
      <c r="AS23" s="65" t="n"/>
      <c r="AT23" s="65" t="n"/>
      <c r="AU23" s="65" t="n"/>
      <c r="AV23" s="65" t="n"/>
      <c r="AW23" s="65" t="n"/>
      <c r="AX23" s="65" t="n"/>
      <c r="AY23" s="65" t="n"/>
      <c r="AZ23" s="65" t="n"/>
      <c r="BA23" s="65" t="n"/>
      <c r="BB23" s="65" t="n"/>
      <c r="BC23" s="65" t="n"/>
      <c r="BD23" s="65" t="n"/>
      <c r="BE23" s="65" t="n"/>
      <c r="BF23" s="65" t="n"/>
      <c r="BG23" s="65" t="n"/>
      <c r="BH23" s="65" t="n"/>
      <c r="BI23" s="65" t="n"/>
      <c r="BJ23" s="65" t="n"/>
      <c r="BK23" s="65" t="n"/>
      <c r="BL23" s="65" t="n"/>
      <c r="BM23" s="65" t="n"/>
    </row>
    <row r="24" ht="16.5" customHeight="1" s="56">
      <c r="A24" s="79" t="inlineStr">
        <is>
          <t>TA 서울라인</t>
        </is>
      </c>
      <c r="B24" s="80" t="inlineStr">
        <is>
          <t>엑토인 톤업 선세럼</t>
        </is>
      </c>
      <c r="C24" s="89" t="n">
        <v>737</v>
      </c>
      <c r="D24" s="89" t="n">
        <v>0</v>
      </c>
      <c r="E24" s="8" t="n"/>
      <c r="F24" s="8">
        <f>C24/$C$31</f>
        <v/>
      </c>
      <c r="G24" s="90" t="n">
        <v>39312000</v>
      </c>
      <c r="H24" s="90" t="n">
        <v>0</v>
      </c>
      <c r="I24" s="8" t="n"/>
      <c r="J24" s="8">
        <f>G24/$G$31</f>
        <v/>
      </c>
      <c r="K24" s="83" t="n">
        <v>1377</v>
      </c>
      <c r="L24" s="83" t="n">
        <v>0</v>
      </c>
      <c r="M24" s="9" t="n"/>
      <c r="N24" s="9">
        <f>K24/$K$31</f>
        <v/>
      </c>
      <c r="O24" s="84" t="n">
        <v>67080000</v>
      </c>
      <c r="P24" s="84" t="n">
        <v>0</v>
      </c>
      <c r="Q24" s="9" t="n"/>
      <c r="R24" s="9">
        <f>O24/$O$31</f>
        <v/>
      </c>
      <c r="S24" s="85" t="n"/>
    </row>
    <row r="25" ht="16.5" customHeight="1" s="56">
      <c r="A25" s="86" t="n"/>
      <c r="B25" s="80" t="inlineStr">
        <is>
          <t>옥시젠 토닝 클렌저</t>
        </is>
      </c>
      <c r="C25" s="89" t="n">
        <v>27</v>
      </c>
      <c r="D25" s="89" t="n">
        <v>0</v>
      </c>
      <c r="E25" s="8" t="n"/>
      <c r="F25" s="8">
        <f>C25/$C$23</f>
        <v/>
      </c>
      <c r="G25" s="90" t="n">
        <v>1488000</v>
      </c>
      <c r="H25" s="90" t="n">
        <v>0</v>
      </c>
      <c r="I25" s="8" t="n"/>
      <c r="J25" s="8">
        <f>G25/$G$31</f>
        <v/>
      </c>
      <c r="K25" s="83" t="n">
        <v>86</v>
      </c>
      <c r="L25" s="83" t="n">
        <v>0</v>
      </c>
      <c r="M25" s="9" t="n"/>
      <c r="N25" s="9">
        <f>K25/$K$31</f>
        <v/>
      </c>
      <c r="O25" s="84" t="n">
        <v>2674300</v>
      </c>
      <c r="P25" s="84" t="n">
        <v>0</v>
      </c>
      <c r="Q25" s="9" t="n"/>
      <c r="R25" s="9">
        <f>O25/$O$31</f>
        <v/>
      </c>
      <c r="S25" s="85" t="n"/>
    </row>
    <row r="26" ht="16.5" customHeight="1" s="56">
      <c r="A26" s="86" t="n"/>
      <c r="B26" s="80" t="inlineStr">
        <is>
          <t>워터인 퀀칭 세럼</t>
        </is>
      </c>
      <c r="C26" s="81" t="n">
        <v>48</v>
      </c>
      <c r="D26" s="81" t="n">
        <v>0</v>
      </c>
      <c r="E26" s="8" t="n"/>
      <c r="F26" s="8">
        <f>C26/$C$23</f>
        <v/>
      </c>
      <c r="G26" s="82" t="n">
        <v>2359125</v>
      </c>
      <c r="H26" s="90" t="n">
        <v>0</v>
      </c>
      <c r="I26" s="8" t="n"/>
      <c r="J26" s="8">
        <f>G26/$G$31</f>
        <v/>
      </c>
      <c r="K26" s="83" t="n">
        <v>107</v>
      </c>
      <c r="L26" s="83" t="n">
        <v>0</v>
      </c>
      <c r="M26" s="9" t="n"/>
      <c r="N26" s="9">
        <f>K26/$K$31</f>
        <v/>
      </c>
      <c r="O26" s="84" t="n">
        <v>3574125</v>
      </c>
      <c r="P26" s="84" t="n">
        <v>0</v>
      </c>
      <c r="Q26" s="9" t="n"/>
      <c r="R26" s="9">
        <f>O26/$O$31</f>
        <v/>
      </c>
      <c r="S26" s="85" t="n"/>
    </row>
    <row r="27" ht="16.5" customHeight="1" s="56">
      <c r="A27" s="86" t="n"/>
      <c r="B27" s="80" t="inlineStr">
        <is>
          <t>엑토인 퀀칭 크림</t>
        </is>
      </c>
      <c r="C27" s="81" t="n">
        <v>26</v>
      </c>
      <c r="D27" s="81" t="n">
        <v>0</v>
      </c>
      <c r="E27" s="8" t="n"/>
      <c r="F27" s="8">
        <f>C27/$C$23</f>
        <v/>
      </c>
      <c r="G27" s="90" t="n">
        <v>1889125</v>
      </c>
      <c r="H27" s="90" t="n">
        <v>0</v>
      </c>
      <c r="I27" s="8" t="n"/>
      <c r="J27" s="8">
        <f>G27/$G$31</f>
        <v/>
      </c>
      <c r="K27" s="83" t="n">
        <v>139</v>
      </c>
      <c r="L27" s="83" t="n">
        <v>0</v>
      </c>
      <c r="M27" s="9" t="n"/>
      <c r="N27" s="9">
        <f>K27/$K$31</f>
        <v/>
      </c>
      <c r="O27" s="84" t="n">
        <v>3045525</v>
      </c>
      <c r="P27" s="84" t="n">
        <v>0</v>
      </c>
      <c r="Q27" s="9" t="n"/>
      <c r="R27" s="9">
        <f>O27/$O$31</f>
        <v/>
      </c>
      <c r="S27" s="85" t="n"/>
    </row>
    <row r="28" ht="16.5" customHeight="1" s="56">
      <c r="A28" s="86" t="n"/>
      <c r="B28" s="80" t="inlineStr">
        <is>
          <t>더마인 리+베리어</t>
        </is>
      </c>
      <c r="C28" s="89" t="n">
        <v>17</v>
      </c>
      <c r="D28" s="89" t="n">
        <v>0</v>
      </c>
      <c r="E28" s="8" t="n"/>
      <c r="F28" s="8">
        <f>C28/$C$23</f>
        <v/>
      </c>
      <c r="G28" s="90" t="n">
        <v>1225000</v>
      </c>
      <c r="H28" s="90" t="n">
        <v>0</v>
      </c>
      <c r="I28" s="8" t="n"/>
      <c r="J28" s="8">
        <f>G28/$G$31</f>
        <v/>
      </c>
      <c r="K28" s="83" t="n">
        <v>121</v>
      </c>
      <c r="L28" s="83" t="n">
        <v>0</v>
      </c>
      <c r="M28" s="9" t="n"/>
      <c r="N28" s="9">
        <f>K28/$K$31</f>
        <v/>
      </c>
      <c r="O28" s="84" t="n">
        <v>1715000</v>
      </c>
      <c r="P28" s="84" t="n">
        <v>0</v>
      </c>
      <c r="Q28" s="9" t="n"/>
      <c r="R28" s="9">
        <f>O28/$O$31</f>
        <v/>
      </c>
      <c r="S28" s="85" t="n"/>
    </row>
    <row r="29" ht="16.5" customHeight="1" s="56">
      <c r="A29" s="86" t="n"/>
      <c r="B29" s="80" t="inlineStr">
        <is>
          <t>신부쿠션 21호/22호</t>
        </is>
      </c>
      <c r="C29" s="89" t="n">
        <v>889</v>
      </c>
      <c r="D29" s="89" t="n">
        <v>687</v>
      </c>
      <c r="E29" s="8">
        <f>(C29-D29)/D29</f>
        <v/>
      </c>
      <c r="F29" s="8">
        <f>C29/$C$23</f>
        <v/>
      </c>
      <c r="G29" s="90" t="n">
        <v>22247650</v>
      </c>
      <c r="H29" s="90" t="n">
        <v>21856700</v>
      </c>
      <c r="I29" s="8">
        <f>(G29-H29)/H29</f>
        <v/>
      </c>
      <c r="J29" s="8">
        <f>G29/$G$31</f>
        <v/>
      </c>
      <c r="K29" s="83" t="n">
        <v>1361</v>
      </c>
      <c r="L29" s="83" t="n">
        <v>1012</v>
      </c>
      <c r="M29" s="9">
        <f>(K29-L29)/L29</f>
        <v/>
      </c>
      <c r="N29" s="9">
        <f>K29/$K$31</f>
        <v/>
      </c>
      <c r="O29" s="84" t="n">
        <v>40992850</v>
      </c>
      <c r="P29" s="84" t="n">
        <v>38221550</v>
      </c>
      <c r="Q29" s="9">
        <f>(O29-P29)/P29</f>
        <v/>
      </c>
      <c r="R29" s="9">
        <f>O29/$O$31</f>
        <v/>
      </c>
      <c r="S29" s="85" t="n"/>
    </row>
    <row r="30" ht="16.5" customHeight="1" s="56">
      <c r="A30" s="86" t="n"/>
      <c r="B30" s="80" t="inlineStr">
        <is>
          <t>기타(세트상품)</t>
        </is>
      </c>
      <c r="C30" s="89" t="n">
        <v>44</v>
      </c>
      <c r="D30" s="89" t="n">
        <v>0</v>
      </c>
      <c r="E30" s="8" t="n"/>
      <c r="F30" s="8">
        <f>C30/$C$23</f>
        <v/>
      </c>
      <c r="G30" s="90" t="n">
        <v>4649000</v>
      </c>
      <c r="H30" s="90" t="n">
        <v>0</v>
      </c>
      <c r="I30" s="8" t="n"/>
      <c r="J30" s="8">
        <f>G30/$G$31</f>
        <v/>
      </c>
      <c r="K30" s="83" t="n">
        <v>118</v>
      </c>
      <c r="L30" s="83" t="n">
        <v>0</v>
      </c>
      <c r="M30" s="9" t="n"/>
      <c r="N30" s="9">
        <f>K30/$K$31</f>
        <v/>
      </c>
      <c r="O30" s="84" t="n">
        <v>11977800</v>
      </c>
      <c r="P30" s="84" t="n">
        <v>0</v>
      </c>
      <c r="Q30" s="9" t="n"/>
      <c r="R30" s="9">
        <f>O30/$O$31</f>
        <v/>
      </c>
      <c r="S30" s="85" t="n"/>
    </row>
    <row r="31" ht="16.5" customFormat="1" customHeight="1" s="91">
      <c r="A31" s="78" t="n"/>
      <c r="B31" s="92" t="inlineStr">
        <is>
          <t>소계</t>
        </is>
      </c>
      <c r="C31" s="93">
        <f>SUM(C24:C30)</f>
        <v/>
      </c>
      <c r="D31" s="93" t="n">
        <v>687</v>
      </c>
      <c r="E31" s="20">
        <f>(C31-D31)/D31</f>
        <v/>
      </c>
      <c r="F31" s="20">
        <f>C31/$C$52</f>
        <v/>
      </c>
      <c r="G31" s="94">
        <f>SUM(G24:G30)</f>
        <v/>
      </c>
      <c r="H31" s="94">
        <f>SUM(H24:H30)</f>
        <v/>
      </c>
      <c r="I31" s="20">
        <f>(G31-H31)/H31</f>
        <v/>
      </c>
      <c r="J31" s="20">
        <f>G31/$G$52</f>
        <v/>
      </c>
      <c r="K31" s="93">
        <f>SUM(K24:K30)</f>
        <v/>
      </c>
      <c r="L31" s="93">
        <f>SUM(L24:L30)</f>
        <v/>
      </c>
      <c r="M31" s="20">
        <f>(K31-L31)/L31</f>
        <v/>
      </c>
      <c r="N31" s="20">
        <f>K31/$K$52</f>
        <v/>
      </c>
      <c r="O31" s="94">
        <f>SUM(O24:O30)</f>
        <v/>
      </c>
      <c r="P31" s="94">
        <f>SUM(P24:P30)</f>
        <v/>
      </c>
      <c r="Q31" s="20">
        <f>(O31-P31)/P31</f>
        <v/>
      </c>
      <c r="R31" s="20">
        <f>O31/$O$52</f>
        <v/>
      </c>
      <c r="S31" s="95" t="n"/>
      <c r="T31" s="65" t="n"/>
      <c r="U31" s="65" t="n"/>
      <c r="V31" s="65" t="n"/>
      <c r="W31" s="65" t="n"/>
      <c r="X31" s="65" t="n"/>
      <c r="Y31" s="65" t="n"/>
      <c r="Z31" s="65" t="n"/>
      <c r="AA31" s="65" t="n"/>
      <c r="AB31" s="65" t="n"/>
      <c r="AC31" s="65" t="n"/>
      <c r="AD31" s="65" t="n"/>
      <c r="AE31" s="65" t="n"/>
      <c r="AF31" s="65" t="n"/>
      <c r="AG31" s="65" t="n"/>
      <c r="AH31" s="65" t="n"/>
      <c r="AI31" s="65" t="n"/>
      <c r="AJ31" s="65" t="n"/>
      <c r="AK31" s="65" t="n"/>
      <c r="AL31" s="65" t="n"/>
      <c r="AM31" s="65" t="n"/>
      <c r="AN31" s="65" t="n"/>
      <c r="AO31" s="65" t="n"/>
      <c r="AP31" s="65" t="n"/>
      <c r="AQ31" s="65" t="n"/>
      <c r="AR31" s="65" t="n"/>
      <c r="AS31" s="65" t="n"/>
      <c r="AT31" s="65" t="n"/>
      <c r="AU31" s="65" t="n"/>
      <c r="AV31" s="65" t="n"/>
      <c r="AW31" s="65" t="n"/>
      <c r="AX31" s="65" t="n"/>
      <c r="AY31" s="65" t="n"/>
      <c r="AZ31" s="65" t="n"/>
      <c r="BA31" s="65" t="n"/>
      <c r="BB31" s="65" t="n"/>
      <c r="BC31" s="65" t="n"/>
      <c r="BD31" s="65" t="n"/>
      <c r="BE31" s="65" t="n"/>
      <c r="BF31" s="65" t="n"/>
      <c r="BG31" s="65" t="n"/>
      <c r="BH31" s="65" t="n"/>
      <c r="BI31" s="65" t="n"/>
      <c r="BJ31" s="65" t="n"/>
      <c r="BK31" s="65" t="n"/>
      <c r="BL31" s="65" t="n"/>
      <c r="BM31" s="65" t="n"/>
    </row>
    <row r="32" ht="16.5" customHeight="1" s="56">
      <c r="A32" s="79" t="inlineStr">
        <is>
          <t>미용기기</t>
        </is>
      </c>
      <c r="B32" s="80" t="inlineStr">
        <is>
          <t>멜라소닉(부속품포함)</t>
        </is>
      </c>
      <c r="C32" s="89" t="n">
        <v>3</v>
      </c>
      <c r="D32" s="89" t="n">
        <v>23</v>
      </c>
      <c r="E32" s="8">
        <f>(C32-D32)/D32</f>
        <v/>
      </c>
      <c r="F32" s="8">
        <f>C32/$C$36</f>
        <v/>
      </c>
      <c r="G32" s="90" t="n">
        <v>66000</v>
      </c>
      <c r="H32" s="90" t="n">
        <v>5747500</v>
      </c>
      <c r="I32" s="8">
        <f>(G32-H32)/H32</f>
        <v/>
      </c>
      <c r="J32" s="8">
        <f>G32/$G$36</f>
        <v/>
      </c>
      <c r="K32" s="83" t="n">
        <v>13</v>
      </c>
      <c r="L32" s="83" t="n">
        <v>38</v>
      </c>
      <c r="M32" s="9">
        <f>(K32-L32)/L32</f>
        <v/>
      </c>
      <c r="N32" s="9">
        <f>K32/$K$36</f>
        <v/>
      </c>
      <c r="O32" s="84" t="n">
        <v>275000</v>
      </c>
      <c r="P32" s="84" t="n">
        <v>6473500</v>
      </c>
      <c r="Q32" s="9">
        <f>(O32-P32)/P32</f>
        <v/>
      </c>
      <c r="R32" s="9">
        <f>O32/$O$36</f>
        <v/>
      </c>
      <c r="S32" s="85" t="n"/>
    </row>
    <row r="33" ht="16.5" customHeight="1" s="56">
      <c r="A33" s="86" t="n"/>
      <c r="B33" s="80" t="inlineStr">
        <is>
          <t>아크소닉(부속품포함)</t>
        </is>
      </c>
      <c r="C33" s="89" t="n">
        <v>0</v>
      </c>
      <c r="D33" s="89" t="n">
        <v>14</v>
      </c>
      <c r="E33" s="8">
        <f>(C33-D33)/D33</f>
        <v/>
      </c>
      <c r="F33" s="8">
        <f>C33/$C$36</f>
        <v/>
      </c>
      <c r="G33" s="90" t="n">
        <v>0</v>
      </c>
      <c r="H33" s="82" t="n">
        <v>37180000</v>
      </c>
      <c r="I33" s="8">
        <f>(G33-H33)/H33</f>
        <v/>
      </c>
      <c r="J33" s="8">
        <f>G33/$G$36</f>
        <v/>
      </c>
      <c r="K33" s="83" t="n">
        <v>0</v>
      </c>
      <c r="L33" s="83" t="n">
        <v>102</v>
      </c>
      <c r="M33" s="9">
        <f>(K33-L33)/L33</f>
        <v/>
      </c>
      <c r="N33" s="9">
        <f>K33/$K$36</f>
        <v/>
      </c>
      <c r="O33" s="84" t="n">
        <v>0</v>
      </c>
      <c r="P33" s="84" t="n">
        <v>103290000</v>
      </c>
      <c r="Q33" s="9">
        <f>(O33-P33)/P33</f>
        <v/>
      </c>
      <c r="R33" s="9">
        <f>O33/$O$36</f>
        <v/>
      </c>
      <c r="S33" s="85" t="n"/>
    </row>
    <row r="34" ht="16.5" customHeight="1" s="56">
      <c r="A34" s="86" t="n"/>
      <c r="B34" s="80" t="inlineStr">
        <is>
          <t>엘디소닉(부속품포함)</t>
        </is>
      </c>
      <c r="C34" s="89" t="n">
        <v>0</v>
      </c>
      <c r="D34" s="89" t="n">
        <v>0</v>
      </c>
      <c r="E34" s="8" t="n"/>
      <c r="F34" s="8">
        <f>C34/$C$36</f>
        <v/>
      </c>
      <c r="G34" s="90" t="n">
        <v>0</v>
      </c>
      <c r="H34" s="90" t="n">
        <v>0</v>
      </c>
      <c r="I34" s="8" t="n"/>
      <c r="J34" s="8">
        <f>G34/$G$36</f>
        <v/>
      </c>
      <c r="K34" s="83" t="n">
        <v>0</v>
      </c>
      <c r="L34" s="83" t="n">
        <v>0</v>
      </c>
      <c r="M34" s="9" t="n"/>
      <c r="N34" s="9">
        <f>K34/$K$36</f>
        <v/>
      </c>
      <c r="O34" s="84" t="n">
        <v>0</v>
      </c>
      <c r="P34" s="84" t="n">
        <v>0</v>
      </c>
      <c r="Q34" s="9" t="n"/>
      <c r="R34" s="9">
        <f>O34/$O$36</f>
        <v/>
      </c>
      <c r="S34" s="85" t="n"/>
    </row>
    <row r="35" ht="16.5" customHeight="1" s="56">
      <c r="A35" s="86" t="n"/>
      <c r="B35" s="80" t="inlineStr">
        <is>
          <t>AI피부진단기</t>
        </is>
      </c>
      <c r="C35" s="81" t="n">
        <v>2</v>
      </c>
      <c r="D35" s="81" t="n">
        <v>0</v>
      </c>
      <c r="E35" s="8" t="n"/>
      <c r="F35" s="8">
        <f>C35/$C$36</f>
        <v/>
      </c>
      <c r="G35" s="90" t="n">
        <v>1500000</v>
      </c>
      <c r="H35" s="90" t="n">
        <v>0</v>
      </c>
      <c r="I35" s="8" t="n"/>
      <c r="J35" s="8">
        <f>G35/$G$36</f>
        <v/>
      </c>
      <c r="K35" s="83" t="n">
        <v>13</v>
      </c>
      <c r="L35" s="83" t="n">
        <v>0</v>
      </c>
      <c r="M35" s="9" t="n"/>
      <c r="N35" s="9">
        <f>K35/$K$36</f>
        <v/>
      </c>
      <c r="O35" s="84" t="n">
        <v>8250000</v>
      </c>
      <c r="P35" s="84" t="n">
        <v>0</v>
      </c>
      <c r="Q35" s="9" t="n"/>
      <c r="R35" s="9">
        <f>O35/$O$36</f>
        <v/>
      </c>
      <c r="S35" s="85" t="n"/>
    </row>
    <row r="36" ht="16.5" customFormat="1" customHeight="1" s="91">
      <c r="A36" s="78" t="n"/>
      <c r="B36" s="92" t="inlineStr">
        <is>
          <t>소계</t>
        </is>
      </c>
      <c r="C36" s="93">
        <f>SUM(C32:C35)</f>
        <v/>
      </c>
      <c r="D36" s="93" t="n">
        <v>37</v>
      </c>
      <c r="E36" s="20">
        <f>(C36-D36)/D36</f>
        <v/>
      </c>
      <c r="F36" s="20">
        <f>C36/$C$52</f>
        <v/>
      </c>
      <c r="G36" s="94">
        <f>SUM(G32:G35)</f>
        <v/>
      </c>
      <c r="H36" s="94">
        <f>SUM(H32:H35)</f>
        <v/>
      </c>
      <c r="I36" s="20">
        <f>(G36-H36)/H36</f>
        <v/>
      </c>
      <c r="J36" s="20">
        <f>G36/$G$52</f>
        <v/>
      </c>
      <c r="K36" s="93">
        <f>SUM(K32:K35)</f>
        <v/>
      </c>
      <c r="L36" s="93">
        <f>SUM(L32:L35)</f>
        <v/>
      </c>
      <c r="M36" s="20">
        <f>(K36-L36)/L36</f>
        <v/>
      </c>
      <c r="N36" s="20">
        <f>K36/$K$52</f>
        <v/>
      </c>
      <c r="O36" s="94">
        <f>SUM(O32:O35)</f>
        <v/>
      </c>
      <c r="P36" s="94">
        <f>SUM(P32:P35)</f>
        <v/>
      </c>
      <c r="Q36" s="20">
        <f>(O36-P36)/P36</f>
        <v/>
      </c>
      <c r="R36" s="20">
        <f>O36/$O$52</f>
        <v/>
      </c>
      <c r="S36" s="9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65" t="n"/>
      <c r="AM36" s="65" t="n"/>
      <c r="AN36" s="65" t="n"/>
      <c r="AO36" s="65" t="n"/>
      <c r="AP36" s="65" t="n"/>
      <c r="AQ36" s="65" t="n"/>
      <c r="AR36" s="65" t="n"/>
      <c r="AS36" s="65" t="n"/>
      <c r="AT36" s="65" t="n"/>
      <c r="AU36" s="65" t="n"/>
      <c r="AV36" s="65" t="n"/>
      <c r="AW36" s="65" t="n"/>
      <c r="AX36" s="65" t="n"/>
      <c r="AY36" s="65" t="n"/>
      <c r="AZ36" s="65" t="n"/>
      <c r="BA36" s="65" t="n"/>
      <c r="BB36" s="65" t="n"/>
      <c r="BC36" s="65" t="n"/>
      <c r="BD36" s="65" t="n"/>
      <c r="BE36" s="65" t="n"/>
      <c r="BF36" s="65" t="n"/>
      <c r="BG36" s="65" t="n"/>
      <c r="BH36" s="65" t="n"/>
      <c r="BI36" s="65" t="n"/>
      <c r="BJ36" s="65" t="n"/>
      <c r="BK36" s="65" t="n"/>
      <c r="BL36" s="65" t="n"/>
      <c r="BM36" s="65" t="n"/>
    </row>
    <row r="37">
      <c r="A37" s="79" t="inlineStr">
        <is>
          <t>담 향</t>
        </is>
      </c>
      <c r="B37" s="85" t="inlineStr">
        <is>
          <t>소프트브레스</t>
        </is>
      </c>
      <c r="C37" s="89" t="n">
        <v>18</v>
      </c>
      <c r="D37" s="89" t="n">
        <v>55</v>
      </c>
      <c r="E37" s="8">
        <f>(C37-D37)/D37</f>
        <v/>
      </c>
      <c r="F37" s="8">
        <f>C37/$C$40</f>
        <v/>
      </c>
      <c r="G37" s="90" t="n">
        <v>360000</v>
      </c>
      <c r="H37" s="90" t="n">
        <v>1120000</v>
      </c>
      <c r="I37" s="8">
        <f>(G37-H37)/H37</f>
        <v/>
      </c>
      <c r="J37" s="8">
        <f>G37/$G$40</f>
        <v/>
      </c>
      <c r="K37" s="83" t="n">
        <v>26</v>
      </c>
      <c r="L37" s="83" t="n">
        <v>59</v>
      </c>
      <c r="M37" s="9">
        <f>(K37-L37)/L37</f>
        <v/>
      </c>
      <c r="N37" s="9">
        <f>K37/$K$40</f>
        <v/>
      </c>
      <c r="O37" s="84" t="n">
        <v>600000</v>
      </c>
      <c r="P37" s="84" t="n">
        <v>1160000</v>
      </c>
      <c r="Q37" s="9">
        <f>(O37-P37)/P37</f>
        <v/>
      </c>
      <c r="R37" s="9">
        <f>O37/$O$40</f>
        <v/>
      </c>
      <c r="S37" s="85" t="n"/>
    </row>
    <row r="38">
      <c r="A38" s="86" t="n"/>
      <c r="B38" s="85" t="inlineStr">
        <is>
          <t>슈퍼아로마</t>
        </is>
      </c>
      <c r="C38" s="89" t="n">
        <v>11</v>
      </c>
      <c r="D38" s="89" t="n">
        <v>23</v>
      </c>
      <c r="E38" s="8">
        <f>(C38-D38)/D38</f>
        <v/>
      </c>
      <c r="F38" s="8">
        <f>C38/$C$40</f>
        <v/>
      </c>
      <c r="G38" s="82" t="n">
        <v>300000</v>
      </c>
      <c r="H38" s="90" t="n">
        <v>550000</v>
      </c>
      <c r="I38" s="8">
        <f>(G38-H38)/H38</f>
        <v/>
      </c>
      <c r="J38" s="8">
        <f>G38/$G$40</f>
        <v/>
      </c>
      <c r="K38" s="83" t="n">
        <v>27</v>
      </c>
      <c r="L38" s="83" t="n">
        <v>26</v>
      </c>
      <c r="M38" s="9">
        <f>(K38-L38)/L38</f>
        <v/>
      </c>
      <c r="N38" s="9">
        <f>K38/$K$40</f>
        <v/>
      </c>
      <c r="O38" s="84" t="n">
        <v>750000</v>
      </c>
      <c r="P38" s="84" t="n">
        <v>550000</v>
      </c>
      <c r="Q38" s="9">
        <f>(O38-P38)/P38</f>
        <v/>
      </c>
      <c r="R38" s="9">
        <f>O38/$O$40</f>
        <v/>
      </c>
      <c r="S38" s="85" t="n"/>
    </row>
    <row r="39">
      <c r="A39" s="86" t="n"/>
      <c r="B39" s="85" t="inlineStr">
        <is>
          <t>기타</t>
        </is>
      </c>
      <c r="C39" s="89" t="n">
        <v>29</v>
      </c>
      <c r="D39" s="89" t="n">
        <v>192</v>
      </c>
      <c r="E39" s="8">
        <f>(C39-D39)/D39</f>
        <v/>
      </c>
      <c r="F39" s="8">
        <f>C39/$C$40</f>
        <v/>
      </c>
      <c r="G39" s="90" t="n">
        <v>946000</v>
      </c>
      <c r="H39" s="90" t="n">
        <v>5122000</v>
      </c>
      <c r="I39" s="8">
        <f>(G39-H39)/H39</f>
        <v/>
      </c>
      <c r="J39" s="8">
        <f>G39/$G$40</f>
        <v/>
      </c>
      <c r="K39" s="83" t="n">
        <v>81</v>
      </c>
      <c r="L39" s="83" t="n">
        <v>303</v>
      </c>
      <c r="M39" s="9">
        <f>(K39-L39)/L39</f>
        <v/>
      </c>
      <c r="N39" s="9">
        <f>K39/$K$40</f>
        <v/>
      </c>
      <c r="O39" s="84" t="n">
        <v>2722000</v>
      </c>
      <c r="P39" s="84" t="n">
        <v>5592000</v>
      </c>
      <c r="Q39" s="9">
        <f>(O39-P39)/P39</f>
        <v/>
      </c>
      <c r="R39" s="9">
        <f>O39/$O$40</f>
        <v/>
      </c>
      <c r="S39" s="85" t="n"/>
    </row>
    <row r="40" customFormat="1" s="91">
      <c r="A40" s="78" t="n"/>
      <c r="B40" s="92" t="inlineStr">
        <is>
          <t>소계</t>
        </is>
      </c>
      <c r="C40" s="93">
        <f>SUM(C37:C39)</f>
        <v/>
      </c>
      <c r="D40" s="93" t="n">
        <v>270</v>
      </c>
      <c r="E40" s="20">
        <f>(C40-D40)/D40</f>
        <v/>
      </c>
      <c r="F40" s="20">
        <f>C40/$C$52</f>
        <v/>
      </c>
      <c r="G40" s="94">
        <f>SUM(G37:G39)</f>
        <v/>
      </c>
      <c r="H40" s="94">
        <f>SUM(H37:H39)</f>
        <v/>
      </c>
      <c r="I40" s="20">
        <f>(G40-H40)/H40</f>
        <v/>
      </c>
      <c r="J40" s="20">
        <f>G40/$G$52</f>
        <v/>
      </c>
      <c r="K40" s="93">
        <f>SUM(K37:K39)</f>
        <v/>
      </c>
      <c r="L40" s="93">
        <f>SUM(L37:L39)</f>
        <v/>
      </c>
      <c r="M40" s="20">
        <f>(K40-L40)/L40</f>
        <v/>
      </c>
      <c r="N40" s="20">
        <f>K40/$K$52</f>
        <v/>
      </c>
      <c r="O40" s="94">
        <f>SUM(O37:O39)</f>
        <v/>
      </c>
      <c r="P40" s="94">
        <f>SUM(P37:P39)</f>
        <v/>
      </c>
      <c r="Q40" s="20">
        <f>(O40-P40)/P40</f>
        <v/>
      </c>
      <c r="R40" s="20">
        <f>O40/$O$52</f>
        <v/>
      </c>
      <c r="S40" s="95" t="n"/>
      <c r="T40" s="65" t="n"/>
      <c r="U40" s="65" t="n"/>
      <c r="V40" s="65" t="n"/>
      <c r="W40" s="65" t="n"/>
      <c r="X40" s="65" t="n"/>
      <c r="Y40" s="65" t="n"/>
      <c r="Z40" s="65" t="n"/>
      <c r="AA40" s="65" t="n"/>
      <c r="AB40" s="65" t="n"/>
      <c r="AC40" s="65" t="n"/>
      <c r="AD40" s="65" t="n"/>
      <c r="AE40" s="65" t="n"/>
      <c r="AF40" s="65" t="n"/>
      <c r="AG40" s="65" t="n"/>
      <c r="AH40" s="65" t="n"/>
      <c r="AI40" s="65" t="n"/>
      <c r="AJ40" s="65" t="n"/>
      <c r="AK40" s="65" t="n"/>
      <c r="AL40" s="65" t="n"/>
      <c r="AM40" s="65" t="n"/>
      <c r="AN40" s="65" t="n"/>
      <c r="AO40" s="65" t="n"/>
      <c r="AP40" s="65" t="n"/>
      <c r="AQ40" s="65" t="n"/>
      <c r="AR40" s="65" t="n"/>
      <c r="AS40" s="65" t="n"/>
      <c r="AT40" s="65" t="n"/>
      <c r="AU40" s="65" t="n"/>
      <c r="AV40" s="65" t="n"/>
      <c r="AW40" s="65" t="n"/>
      <c r="AX40" s="65" t="n"/>
      <c r="AY40" s="65" t="n"/>
      <c r="AZ40" s="65" t="n"/>
      <c r="BA40" s="65" t="n"/>
      <c r="BB40" s="65" t="n"/>
      <c r="BC40" s="65" t="n"/>
      <c r="BD40" s="65" t="n"/>
      <c r="BE40" s="65" t="n"/>
      <c r="BF40" s="65" t="n"/>
      <c r="BG40" s="65" t="n"/>
      <c r="BH40" s="65" t="n"/>
      <c r="BI40" s="65" t="n"/>
      <c r="BJ40" s="65" t="n"/>
      <c r="BK40" s="65" t="n"/>
      <c r="BL40" s="65" t="n"/>
      <c r="BM40" s="65" t="n"/>
    </row>
    <row r="41">
      <c r="A41" s="79" t="inlineStr">
        <is>
          <t>밀리맘</t>
        </is>
      </c>
      <c r="B41" s="80" t="inlineStr">
        <is>
          <t>오일앤크림</t>
        </is>
      </c>
      <c r="C41" s="89" t="n">
        <v>423</v>
      </c>
      <c r="D41" s="89" t="n">
        <v>482</v>
      </c>
      <c r="E41" s="8">
        <f>(C41-D41)/D41</f>
        <v/>
      </c>
      <c r="F41" s="8">
        <f>C41/$C$46</f>
        <v/>
      </c>
      <c r="G41" s="90" t="n">
        <v>11213500</v>
      </c>
      <c r="H41" s="90" t="n">
        <v>15217100</v>
      </c>
      <c r="I41" s="8">
        <f>(G41-H41)/H41</f>
        <v/>
      </c>
      <c r="J41" s="8">
        <f>G41/$G$46</f>
        <v/>
      </c>
      <c r="K41" s="83" t="n">
        <v>1152</v>
      </c>
      <c r="L41" s="83" t="n">
        <v>806</v>
      </c>
      <c r="M41" s="9">
        <f>(K41-L41)/L41</f>
        <v/>
      </c>
      <c r="N41" s="9">
        <f>K41/$K$46</f>
        <v/>
      </c>
      <c r="O41" s="84" t="n">
        <v>24705746</v>
      </c>
      <c r="P41" s="84" t="n">
        <v>30691100</v>
      </c>
      <c r="Q41" s="9">
        <f>(O41-P41)/P41</f>
        <v/>
      </c>
      <c r="R41" s="9">
        <f>O41/$O$46</f>
        <v/>
      </c>
      <c r="S41" s="85" t="n"/>
    </row>
    <row r="42">
      <c r="A42" s="86" t="n"/>
      <c r="B42" s="80" t="inlineStr">
        <is>
          <t>아토크림</t>
        </is>
      </c>
      <c r="C42" s="89" t="n">
        <v>236</v>
      </c>
      <c r="D42" s="89" t="n">
        <v>0</v>
      </c>
      <c r="E42" s="8" t="n"/>
      <c r="F42" s="8">
        <f>C42/$C$46</f>
        <v/>
      </c>
      <c r="G42" s="90" t="n">
        <v>7877800</v>
      </c>
      <c r="H42" s="90" t="n">
        <v>0</v>
      </c>
      <c r="I42" s="8" t="n"/>
      <c r="J42" s="8">
        <f>G42/$G$46</f>
        <v/>
      </c>
      <c r="K42" s="83" t="n">
        <v>615</v>
      </c>
      <c r="L42" s="83" t="n">
        <v>0</v>
      </c>
      <c r="M42" s="9" t="n"/>
      <c r="N42" s="9">
        <f>K42/$K$46</f>
        <v/>
      </c>
      <c r="O42" s="84" t="n">
        <v>16147600</v>
      </c>
      <c r="P42" s="84" t="n">
        <v>0</v>
      </c>
      <c r="Q42" s="9" t="n"/>
      <c r="R42" s="9">
        <f>O42/$O$46</f>
        <v/>
      </c>
      <c r="S42" s="85" t="n"/>
    </row>
    <row r="43">
      <c r="A43" s="86" t="n"/>
      <c r="B43" s="80" t="inlineStr">
        <is>
          <t>새싹 로션</t>
        </is>
      </c>
      <c r="C43" s="89" t="n">
        <v>222</v>
      </c>
      <c r="D43" s="89" t="n">
        <v>18</v>
      </c>
      <c r="E43" s="8">
        <f>(C43-D43)/D43</f>
        <v/>
      </c>
      <c r="F43" s="8">
        <f>C43/$C$46</f>
        <v/>
      </c>
      <c r="G43" s="90" t="n">
        <v>4605400</v>
      </c>
      <c r="H43" s="90" t="n">
        <v>410300</v>
      </c>
      <c r="I43" s="8">
        <f>(G43-H43)/H43</f>
        <v/>
      </c>
      <c r="J43" s="8">
        <f>G43/$G$46</f>
        <v/>
      </c>
      <c r="K43" s="83" t="n">
        <v>1671</v>
      </c>
      <c r="L43" s="83" t="n">
        <v>98</v>
      </c>
      <c r="M43" s="9">
        <f>(K43-L43)/L43</f>
        <v/>
      </c>
      <c r="N43" s="9">
        <f>K43/$K$46</f>
        <v/>
      </c>
      <c r="O43" s="84" t="n">
        <v>37361400</v>
      </c>
      <c r="P43" s="84" t="n">
        <v>5902100</v>
      </c>
      <c r="Q43" s="9">
        <f>(O43-P43)/P43</f>
        <v/>
      </c>
      <c r="R43" s="9">
        <f>O43/$O$46</f>
        <v/>
      </c>
      <c r="S43" s="85" t="n"/>
    </row>
    <row r="44">
      <c r="A44" s="86" t="n"/>
      <c r="B44" s="80" t="inlineStr">
        <is>
          <t>새싹 워시</t>
        </is>
      </c>
      <c r="C44" s="89" t="n">
        <v>151</v>
      </c>
      <c r="D44" s="89" t="n">
        <v>208</v>
      </c>
      <c r="E44" s="8">
        <f>(C44-D44)/D44</f>
        <v/>
      </c>
      <c r="F44" s="8">
        <f>C44/$C$46</f>
        <v/>
      </c>
      <c r="G44" s="90" t="n">
        <v>3118700</v>
      </c>
      <c r="H44" s="90" t="n">
        <v>1529050</v>
      </c>
      <c r="I44" s="8">
        <f>(G44-H44)/H44</f>
        <v/>
      </c>
      <c r="J44" s="8">
        <f>G44/$G$46</f>
        <v/>
      </c>
      <c r="K44" s="83" t="n">
        <v>367</v>
      </c>
      <c r="L44" s="83" t="n">
        <v>321</v>
      </c>
      <c r="M44" s="9">
        <f>(K44-L44)/L44</f>
        <v/>
      </c>
      <c r="N44" s="9">
        <f>K44/$K$46</f>
        <v/>
      </c>
      <c r="O44" s="84" t="n">
        <v>8038000</v>
      </c>
      <c r="P44" s="84" t="n">
        <v>2944350</v>
      </c>
      <c r="Q44" s="9">
        <f>(O44-P44)/P44</f>
        <v/>
      </c>
      <c r="R44" s="9">
        <f>O44/$O$46</f>
        <v/>
      </c>
      <c r="S44" s="85" t="n"/>
    </row>
    <row r="45">
      <c r="A45" s="86" t="n"/>
      <c r="B45" s="80" t="inlineStr">
        <is>
          <t>기타(젤, 힙, 미니, 세트)</t>
        </is>
      </c>
      <c r="C45" s="89" t="n">
        <v>328</v>
      </c>
      <c r="D45" s="89" t="n">
        <v>97</v>
      </c>
      <c r="E45" s="8">
        <f>(C45-D45)/D45</f>
        <v/>
      </c>
      <c r="F45" s="8">
        <f>C45/$C$46</f>
        <v/>
      </c>
      <c r="G45" s="90" t="n">
        <v>13952500</v>
      </c>
      <c r="H45" s="90" t="n">
        <v>3024700</v>
      </c>
      <c r="I45" s="8">
        <f>(G45-H45)/H45</f>
        <v/>
      </c>
      <c r="J45" s="8">
        <f>G45/$G$46</f>
        <v/>
      </c>
      <c r="K45" s="83" t="n">
        <v>510</v>
      </c>
      <c r="L45" s="83" t="n">
        <v>230</v>
      </c>
      <c r="M45" s="9">
        <f>(K45-L45)/L45</f>
        <v/>
      </c>
      <c r="N45" s="9">
        <f>K45/$K$46</f>
        <v/>
      </c>
      <c r="O45" s="84" t="n">
        <v>37332250</v>
      </c>
      <c r="P45" s="84" t="n">
        <v>8689631</v>
      </c>
      <c r="Q45" s="9">
        <f>(O45-P45)/P45</f>
        <v/>
      </c>
      <c r="R45" s="9">
        <f>O45/$O$46</f>
        <v/>
      </c>
      <c r="S45" s="85" t="n"/>
    </row>
    <row r="46" customFormat="1" s="91">
      <c r="A46" s="78" t="n"/>
      <c r="B46" s="92" t="inlineStr">
        <is>
          <t>소계</t>
        </is>
      </c>
      <c r="C46" s="93">
        <f>SUM(C41:C45)</f>
        <v/>
      </c>
      <c r="D46" s="93" t="n">
        <v>805</v>
      </c>
      <c r="E46" s="20">
        <f>(C46-D46)/D46</f>
        <v/>
      </c>
      <c r="F46" s="20">
        <f>C46/$C$52</f>
        <v/>
      </c>
      <c r="G46" s="94">
        <f>SUM(G41:G45)</f>
        <v/>
      </c>
      <c r="H46" s="94">
        <f>SUM(H41:H45)</f>
        <v/>
      </c>
      <c r="I46" s="20">
        <f>(G46-H46)/H46</f>
        <v/>
      </c>
      <c r="J46" s="20">
        <f>G46/$G$52</f>
        <v/>
      </c>
      <c r="K46" s="93">
        <f>SUM(K41:K45)</f>
        <v/>
      </c>
      <c r="L46" s="93">
        <f>SUM(L41:L45)</f>
        <v/>
      </c>
      <c r="M46" s="20">
        <f>(K46-L46)/L46</f>
        <v/>
      </c>
      <c r="N46" s="20">
        <f>K46/$K$52</f>
        <v/>
      </c>
      <c r="O46" s="94">
        <f>SUM(O41:O45)</f>
        <v/>
      </c>
      <c r="P46" s="94">
        <f>SUM(P41:P45)</f>
        <v/>
      </c>
      <c r="Q46" s="20">
        <f>(O46-P46)/P46</f>
        <v/>
      </c>
      <c r="R46" s="20">
        <f>O46/$O$52</f>
        <v/>
      </c>
      <c r="S46" s="95" t="n"/>
      <c r="T46" s="65" t="n"/>
      <c r="U46" s="65" t="n"/>
      <c r="V46" s="65" t="n"/>
      <c r="W46" s="65" t="n"/>
      <c r="X46" s="65" t="n"/>
      <c r="Y46" s="65" t="n"/>
      <c r="Z46" s="65" t="n"/>
      <c r="AA46" s="65" t="n"/>
      <c r="AB46" s="65" t="n"/>
      <c r="AC46" s="65" t="n"/>
      <c r="AD46" s="65" t="n"/>
      <c r="AE46" s="65" t="n"/>
      <c r="AF46" s="65" t="n"/>
      <c r="AG46" s="65" t="n"/>
      <c r="AH46" s="65" t="n"/>
      <c r="AI46" s="65" t="n"/>
      <c r="AJ46" s="65" t="n"/>
      <c r="AK46" s="65" t="n"/>
      <c r="AL46" s="65" t="n"/>
      <c r="AM46" s="65" t="n"/>
      <c r="AN46" s="65" t="n"/>
      <c r="AO46" s="65" t="n"/>
      <c r="AP46" s="65" t="n"/>
      <c r="AQ46" s="65" t="n"/>
      <c r="AR46" s="65" t="n"/>
      <c r="AS46" s="65" t="n"/>
      <c r="AT46" s="65" t="n"/>
      <c r="AU46" s="65" t="n"/>
      <c r="AV46" s="65" t="n"/>
      <c r="AW46" s="65" t="n"/>
      <c r="AX46" s="65" t="n"/>
      <c r="AY46" s="65" t="n"/>
      <c r="AZ46" s="65" t="n"/>
      <c r="BA46" s="65" t="n"/>
      <c r="BB46" s="65" t="n"/>
      <c r="BC46" s="65" t="n"/>
      <c r="BD46" s="65" t="n"/>
      <c r="BE46" s="65" t="n"/>
      <c r="BF46" s="65" t="n"/>
      <c r="BG46" s="65" t="n"/>
      <c r="BH46" s="65" t="n"/>
      <c r="BI46" s="65" t="n"/>
      <c r="BJ46" s="65" t="n"/>
      <c r="BK46" s="65" t="n"/>
      <c r="BL46" s="65" t="n"/>
      <c r="BM46" s="65" t="n"/>
    </row>
    <row r="47">
      <c r="A47" s="79" t="inlineStr">
        <is>
          <t>기 타</t>
        </is>
      </c>
      <c r="B47" s="85" t="inlineStr">
        <is>
          <t>할인</t>
        </is>
      </c>
      <c r="C47" s="89" t="n">
        <v>-168</v>
      </c>
      <c r="D47" s="89" t="n">
        <v>-69</v>
      </c>
      <c r="E47" s="8">
        <f>(C47-D47)/D47</f>
        <v/>
      </c>
      <c r="F47" s="8">
        <f>C47/$C$51</f>
        <v/>
      </c>
      <c r="G47" s="90" t="n">
        <v>-397875973</v>
      </c>
      <c r="H47" s="90" t="n">
        <v>-202139830</v>
      </c>
      <c r="I47" s="8">
        <f>(G47-H47)/H47</f>
        <v/>
      </c>
      <c r="J47" s="8">
        <f>G47/$G$51</f>
        <v/>
      </c>
      <c r="K47" s="83" t="n">
        <v>-358</v>
      </c>
      <c r="L47" s="83" t="n">
        <v>-216</v>
      </c>
      <c r="M47" s="9">
        <f>(K47-L47)/L47</f>
        <v/>
      </c>
      <c r="N47" s="9">
        <f>K47/$K$51</f>
        <v/>
      </c>
      <c r="O47" s="84" t="n">
        <v>-609679728</v>
      </c>
      <c r="P47" s="84" t="n">
        <v>-251679197</v>
      </c>
      <c r="Q47" s="9">
        <f>(O47-P47)/P47</f>
        <v/>
      </c>
      <c r="R47" s="9">
        <f>O47/$O$51</f>
        <v/>
      </c>
      <c r="S47" s="85" t="n"/>
    </row>
    <row r="48">
      <c r="A48" s="86" t="n"/>
      <c r="B48" s="85" t="inlineStr">
        <is>
          <t>뷰티툴(BT)</t>
        </is>
      </c>
      <c r="C48" s="89" t="n">
        <v>680</v>
      </c>
      <c r="D48" s="89" t="n">
        <v>440</v>
      </c>
      <c r="E48" s="8">
        <f>(C48-D48)/D48</f>
        <v/>
      </c>
      <c r="F48" s="8">
        <f>C48/$C$51</f>
        <v/>
      </c>
      <c r="G48" s="90" t="n">
        <v>2508300</v>
      </c>
      <c r="H48" s="90" t="n">
        <v>3814600</v>
      </c>
      <c r="I48" s="8">
        <f>(G48-H48)/H48</f>
        <v/>
      </c>
      <c r="J48" s="8">
        <f>G48/$G$51</f>
        <v/>
      </c>
      <c r="K48" s="83" t="n">
        <v>1479</v>
      </c>
      <c r="L48" s="83" t="n">
        <v>725</v>
      </c>
      <c r="M48" s="9">
        <f>(K48-L48)/L48</f>
        <v/>
      </c>
      <c r="N48" s="9">
        <f>K48/$K$51</f>
        <v/>
      </c>
      <c r="O48" s="84" t="n">
        <v>5075000</v>
      </c>
      <c r="P48" s="84" t="n">
        <v>7622100</v>
      </c>
      <c r="Q48" s="9">
        <f>(O48-P48)/P48</f>
        <v/>
      </c>
      <c r="R48" s="9">
        <f>O48/$O$51</f>
        <v/>
      </c>
      <c r="S48" s="85" t="n"/>
    </row>
    <row r="49">
      <c r="A49" s="86" t="n"/>
      <c r="B49" s="85" t="inlineStr">
        <is>
          <t>파트너스(교육)</t>
        </is>
      </c>
      <c r="C49" s="89" t="n">
        <v>0</v>
      </c>
      <c r="D49" s="89" t="n">
        <v>0</v>
      </c>
      <c r="E49" s="8" t="n"/>
      <c r="F49" s="8">
        <f>C49/$C$51</f>
        <v/>
      </c>
      <c r="G49" s="90" t="n">
        <v>0</v>
      </c>
      <c r="H49" s="90" t="n">
        <v>0</v>
      </c>
      <c r="I49" s="8" t="n"/>
      <c r="J49" s="8">
        <f>G49/$G$51</f>
        <v/>
      </c>
      <c r="K49" s="83" t="n">
        <v>0</v>
      </c>
      <c r="L49" s="83" t="n">
        <v>0</v>
      </c>
      <c r="M49" s="9" t="n"/>
      <c r="N49" s="9">
        <f>K49/$K$51</f>
        <v/>
      </c>
      <c r="O49" s="84" t="n">
        <v>0</v>
      </c>
      <c r="P49" s="84" t="n">
        <v>0</v>
      </c>
      <c r="Q49" s="9" t="n"/>
      <c r="R49" s="9">
        <f>O49/$O$51</f>
        <v/>
      </c>
      <c r="S49" s="85" t="inlineStr">
        <is>
          <t>확인 불가</t>
        </is>
      </c>
    </row>
    <row r="50">
      <c r="A50" s="86" t="n"/>
      <c r="B50" s="85" t="inlineStr">
        <is>
          <t>기타(택배비, 리플렛, 단종)</t>
        </is>
      </c>
      <c r="C50" s="89" t="n">
        <v>9534</v>
      </c>
      <c r="D50" s="89" t="n">
        <v>9062</v>
      </c>
      <c r="E50" s="8">
        <f>(C50-D50)/D50</f>
        <v/>
      </c>
      <c r="F50" s="8">
        <f>C50/$C$51</f>
        <v/>
      </c>
      <c r="G50" s="90" t="n">
        <v>21677740</v>
      </c>
      <c r="H50" s="90" t="n">
        <v>79379900</v>
      </c>
      <c r="I50" s="8">
        <f>(G50-H50)/H50</f>
        <v/>
      </c>
      <c r="J50" s="8">
        <f>G50/$G$51</f>
        <v/>
      </c>
      <c r="K50" s="83" t="n">
        <v>43321</v>
      </c>
      <c r="L50" s="83" t="n">
        <v>6930</v>
      </c>
      <c r="M50" s="9">
        <f>(K50-L50)/L50</f>
        <v/>
      </c>
      <c r="N50" s="9">
        <f>K50/$K$51</f>
        <v/>
      </c>
      <c r="O50" s="84" t="n">
        <v>53857840</v>
      </c>
      <c r="P50" s="84" t="n">
        <v>122672590</v>
      </c>
      <c r="Q50" s="9">
        <f>(O50-P50)/P50</f>
        <v/>
      </c>
      <c r="R50" s="9">
        <f>O50/$O$51</f>
        <v/>
      </c>
      <c r="S50" s="85" t="inlineStr">
        <is>
          <t>이카운트 총금액 - 판매현황 합계</t>
        </is>
      </c>
    </row>
    <row r="51" customFormat="1" s="91">
      <c r="A51" s="78" t="n"/>
      <c r="B51" s="92" t="inlineStr">
        <is>
          <t>소계</t>
        </is>
      </c>
      <c r="C51" s="93">
        <f>SUM(C47:C50)</f>
        <v/>
      </c>
      <c r="D51" s="93" t="n">
        <v>9433</v>
      </c>
      <c r="E51" s="20">
        <f>(C51-D51)/D51</f>
        <v/>
      </c>
      <c r="F51" s="20">
        <f>C51/$C$52</f>
        <v/>
      </c>
      <c r="G51" s="94">
        <f>SUM(G47:G50)</f>
        <v/>
      </c>
      <c r="H51" s="94">
        <f>SUM(H47:H50)</f>
        <v/>
      </c>
      <c r="I51" s="20">
        <f>(G51-H51)/H51</f>
        <v/>
      </c>
      <c r="J51" s="20">
        <f>G51/$G$52</f>
        <v/>
      </c>
      <c r="K51" s="93">
        <f>SUM(K47:K50)</f>
        <v/>
      </c>
      <c r="L51" s="93">
        <f>SUM(L47:L50)</f>
        <v/>
      </c>
      <c r="M51" s="20">
        <f>(K51-L51)/L51</f>
        <v/>
      </c>
      <c r="N51" s="20">
        <f>K51/$K$52</f>
        <v/>
      </c>
      <c r="O51" s="94">
        <f>SUM(O47:O50)</f>
        <v/>
      </c>
      <c r="P51" s="94">
        <f>SUM(P47:P50)</f>
        <v/>
      </c>
      <c r="Q51" s="20">
        <f>(O51-P51)/P51</f>
        <v/>
      </c>
      <c r="R51" s="20">
        <f>O51/$O$52</f>
        <v/>
      </c>
      <c r="S51" s="95" t="n"/>
      <c r="T51" s="65" t="n"/>
      <c r="U51" s="65" t="n"/>
      <c r="V51" s="65" t="n"/>
      <c r="W51" s="65" t="n"/>
      <c r="X51" s="65" t="n"/>
      <c r="Y51" s="65" t="n"/>
      <c r="Z51" s="65" t="n"/>
      <c r="AA51" s="65" t="n"/>
      <c r="AB51" s="65" t="n"/>
      <c r="AC51" s="65" t="n"/>
      <c r="AD51" s="65" t="n"/>
      <c r="AE51" s="65" t="n"/>
      <c r="AF51" s="65" t="n"/>
      <c r="AG51" s="65" t="n"/>
      <c r="AH51" s="65" t="n"/>
      <c r="AI51" s="65" t="n"/>
      <c r="AJ51" s="65" t="n"/>
      <c r="AK51" s="65" t="n"/>
      <c r="AL51" s="65" t="n"/>
      <c r="AM51" s="65" t="n"/>
      <c r="AN51" s="65" t="n"/>
      <c r="AO51" s="65" t="n"/>
      <c r="AP51" s="65" t="n"/>
      <c r="AQ51" s="65" t="n"/>
      <c r="AR51" s="65" t="n"/>
      <c r="AS51" s="65" t="n"/>
      <c r="AT51" s="65" t="n"/>
      <c r="AU51" s="65" t="n"/>
      <c r="AV51" s="65" t="n"/>
      <c r="AW51" s="65" t="n"/>
      <c r="AX51" s="65" t="n"/>
      <c r="AY51" s="65" t="n"/>
      <c r="AZ51" s="65" t="n"/>
      <c r="BA51" s="65" t="n"/>
      <c r="BB51" s="65" t="n"/>
      <c r="BC51" s="65" t="n"/>
      <c r="BD51" s="65" t="n"/>
      <c r="BE51" s="65" t="n"/>
      <c r="BF51" s="65" t="n"/>
      <c r="BG51" s="65" t="n"/>
      <c r="BH51" s="65" t="n"/>
      <c r="BI51" s="65" t="n"/>
      <c r="BJ51" s="65" t="n"/>
      <c r="BK51" s="65" t="n"/>
      <c r="BL51" s="65" t="n"/>
      <c r="BM51" s="65" t="n"/>
    </row>
    <row r="52" customFormat="1" s="91">
      <c r="A52" s="92" t="inlineStr">
        <is>
          <t>합계</t>
        </is>
      </c>
      <c r="B52" s="70" t="n"/>
      <c r="C52" s="93">
        <f>C51+C46+C40+C36+C31+C23</f>
        <v/>
      </c>
      <c r="D52" s="93" t="n">
        <v>43043</v>
      </c>
      <c r="E52" s="20">
        <f>(C52-D52)/D52</f>
        <v/>
      </c>
      <c r="F52" s="20">
        <f>F51+F46+F40+F36+F31+F23</f>
        <v/>
      </c>
      <c r="G52" s="94">
        <f>G51+G46+G40+G36+G31+G23</f>
        <v/>
      </c>
      <c r="H52" s="94">
        <f>H51+H46+H40+H36+H31+H23</f>
        <v/>
      </c>
      <c r="I52" s="20">
        <f>(G52-H52)/H52</f>
        <v/>
      </c>
      <c r="J52" s="20">
        <f>J51+J46+J40+J36+J31+J23</f>
        <v/>
      </c>
      <c r="K52" s="93">
        <f>K51+K46+K40+K36+K31+K23</f>
        <v/>
      </c>
      <c r="L52" s="93">
        <f>L51+L46+L40+L36+L31+L23</f>
        <v/>
      </c>
      <c r="M52" s="20">
        <f>(K52-L52)/L52</f>
        <v/>
      </c>
      <c r="N52" s="20">
        <f>N51+N46+N40+N36+N31+N23</f>
        <v/>
      </c>
      <c r="O52" s="94">
        <f>O51+O46+O40+O36+O31+O23</f>
        <v/>
      </c>
      <c r="P52" s="94">
        <f>P51+P46+P40+P36+P31+P23</f>
        <v/>
      </c>
      <c r="Q52" s="20">
        <f>(O52-P52)/P52</f>
        <v/>
      </c>
      <c r="R52" s="20">
        <f>R51+R46+R40+R36+R31+R23</f>
        <v/>
      </c>
      <c r="S52" s="95" t="n"/>
      <c r="T52" s="65" t="n"/>
      <c r="U52" s="65" t="n"/>
      <c r="V52" s="65" t="n"/>
      <c r="W52" s="65" t="n"/>
      <c r="X52" s="65" t="n"/>
      <c r="Y52" s="65" t="n"/>
      <c r="Z52" s="65" t="n"/>
      <c r="AA52" s="65" t="n"/>
      <c r="AB52" s="65" t="n"/>
      <c r="AC52" s="65" t="n"/>
      <c r="AD52" s="65" t="n"/>
      <c r="AE52" s="65" t="n"/>
      <c r="AF52" s="65" t="n"/>
      <c r="AG52" s="65" t="n"/>
      <c r="AH52" s="65" t="n"/>
      <c r="AI52" s="65" t="n"/>
      <c r="AJ52" s="65" t="n"/>
      <c r="AK52" s="65" t="n"/>
      <c r="AL52" s="65" t="n"/>
      <c r="AM52" s="65" t="n"/>
      <c r="AN52" s="65" t="n"/>
      <c r="AO52" s="65" t="n"/>
      <c r="AP52" s="65" t="n"/>
      <c r="AQ52" s="65" t="n"/>
      <c r="AR52" s="65" t="n"/>
      <c r="AS52" s="65" t="n"/>
      <c r="AT52" s="65" t="n"/>
      <c r="AU52" s="65" t="n"/>
      <c r="AV52" s="65" t="n"/>
      <c r="AW52" s="65" t="n"/>
      <c r="AX52" s="65" t="n"/>
      <c r="AY52" s="65" t="n"/>
      <c r="AZ52" s="65" t="n"/>
      <c r="BA52" s="65" t="n"/>
      <c r="BB52" s="65" t="n"/>
      <c r="BC52" s="65" t="n"/>
      <c r="BD52" s="65" t="n"/>
      <c r="BE52" s="65" t="n"/>
      <c r="BF52" s="65" t="n"/>
      <c r="BG52" s="65" t="n"/>
      <c r="BH52" s="65" t="n"/>
      <c r="BI52" s="65" t="n"/>
      <c r="BJ52" s="65" t="n"/>
      <c r="BK52" s="65" t="n"/>
      <c r="BL52" s="65" t="n"/>
      <c r="BM52" s="65" t="n"/>
    </row>
    <row r="53">
      <c r="A53" s="85" t="n"/>
      <c r="B53" s="85" t="inlineStr">
        <is>
          <t>이카운트 총 금액</t>
        </is>
      </c>
      <c r="C53" s="81" t="n">
        <v>55779</v>
      </c>
      <c r="D53" s="81" t="n"/>
      <c r="E53" s="8" t="n"/>
      <c r="F53" s="8" t="n"/>
      <c r="G53" s="82" t="n">
        <v>983346117</v>
      </c>
      <c r="H53" s="82" t="n">
        <v>672831090</v>
      </c>
      <c r="I53" s="8" t="n"/>
      <c r="J53" s="8" t="n"/>
      <c r="K53" s="87" t="n">
        <v>128999</v>
      </c>
      <c r="L53" s="87" t="n">
        <v>84957</v>
      </c>
      <c r="M53" s="9" t="n"/>
      <c r="N53" s="9" t="n"/>
      <c r="O53" s="88" t="n">
        <v>1817229428</v>
      </c>
      <c r="P53" s="88" t="n">
        <v>1543208884</v>
      </c>
      <c r="Q53" s="9" t="n"/>
      <c r="R53" s="9" t="n"/>
      <c r="S53" s="85" t="n"/>
    </row>
  </sheetData>
  <mergeCells count="12">
    <mergeCell ref="A4:A23"/>
    <mergeCell ref="A52:B52"/>
    <mergeCell ref="A2:B3"/>
    <mergeCell ref="C2:J2"/>
    <mergeCell ref="K2:R2"/>
    <mergeCell ref="A24:A31"/>
    <mergeCell ref="A1:B1"/>
    <mergeCell ref="A37:A40"/>
    <mergeCell ref="A47:A51"/>
    <mergeCell ref="A32:A36"/>
    <mergeCell ref="S2:S3"/>
    <mergeCell ref="A41:A46"/>
  </mergeCells>
  <conditionalFormatting sqref="C1:R2 C3:K53 C54:R1048576 M3:O53 Q3:R53">
    <cfRule type="cellIs" priority="1" operator="lessThan" dxfId="0">
      <formula>0</formula>
    </cfRule>
  </conditionalFormatting>
  <pageMargins left="0" right="0" top="0.7480314960629921" bottom="0.7480314960629921" header="0.3149606299212598" footer="0.3149606299212598"/>
  <pageSetup orientation="portrait" paperSize="9" scale="58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BM53"/>
  <sheetViews>
    <sheetView tabSelected="1" zoomScale="130" zoomScaleNormal="13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W12" sqref="W12"/>
    </sheetView>
  </sheetViews>
  <sheetFormatPr baseColWidth="8" defaultColWidth="8" defaultRowHeight="13.5"/>
  <cols>
    <col width="2.625" customWidth="1" style="57" min="1" max="1"/>
    <col width="21.875" bestFit="1" customWidth="1" style="57" min="2" max="2"/>
    <col width="8.25" customWidth="1" style="96" min="3" max="4"/>
    <col width="8.25" customWidth="1" style="3" min="5" max="6"/>
    <col width="8.25" customWidth="1" style="59" min="7" max="8"/>
    <col width="8.25" customWidth="1" style="3" min="9" max="10"/>
    <col width="8.25" customWidth="1" style="97" min="11" max="12"/>
    <col width="8.25" customWidth="1" style="4" min="13" max="14"/>
    <col width="8.25" customWidth="1" style="61" min="15" max="16"/>
    <col width="8.25" customWidth="1" style="4" min="17" max="18"/>
    <col width="27" customWidth="1" style="57" min="19" max="19"/>
    <col width="8" customWidth="1" style="57" min="20" max="16384"/>
  </cols>
  <sheetData>
    <row r="1">
      <c r="A1" s="62" t="inlineStr">
        <is>
          <t>1. 제품별 판매현황</t>
        </is>
      </c>
      <c r="B1" s="63" t="n"/>
      <c r="R1" s="5" t="n"/>
      <c r="S1" s="64" t="inlineStr">
        <is>
          <t>(개,백만원,%)</t>
        </is>
      </c>
    </row>
    <row r="2" ht="24.75" customFormat="1" customHeight="1" s="65">
      <c r="A2" s="66" t="inlineStr">
        <is>
          <t>구분</t>
        </is>
      </c>
      <c r="B2" s="67" t="n"/>
      <c r="C2" s="68" t="inlineStr">
        <is>
          <t>3월 당월</t>
        </is>
      </c>
      <c r="D2" s="69" t="n"/>
      <c r="E2" s="69" t="n"/>
      <c r="F2" s="69" t="n"/>
      <c r="G2" s="69" t="n"/>
      <c r="H2" s="69" t="n"/>
      <c r="I2" s="69" t="n"/>
      <c r="J2" s="70" t="n"/>
      <c r="K2" s="71" t="inlineStr">
        <is>
          <t>3월 누계</t>
        </is>
      </c>
      <c r="L2" s="69" t="n"/>
      <c r="M2" s="69" t="n"/>
      <c r="N2" s="69" t="n"/>
      <c r="O2" s="69" t="n"/>
      <c r="P2" s="69" t="n"/>
      <c r="Q2" s="69" t="n"/>
      <c r="R2" s="70" t="n"/>
      <c r="S2" s="66" t="inlineStr">
        <is>
          <t>비고</t>
        </is>
      </c>
    </row>
    <row r="3" ht="19.5" customFormat="1" customHeight="1" s="65">
      <c r="A3" s="72" t="n"/>
      <c r="B3" s="73" t="n"/>
      <c r="C3" s="98" t="inlineStr">
        <is>
          <t>수량</t>
        </is>
      </c>
      <c r="D3" s="98" t="inlineStr">
        <is>
          <t>전년</t>
        </is>
      </c>
      <c r="E3" s="24" t="inlineStr">
        <is>
          <t>증감</t>
        </is>
      </c>
      <c r="F3" s="24" t="inlineStr">
        <is>
          <t>구성비</t>
        </is>
      </c>
      <c r="G3" s="75" t="inlineStr">
        <is>
          <t>금액</t>
        </is>
      </c>
      <c r="H3" s="75" t="inlineStr">
        <is>
          <t>전년</t>
        </is>
      </c>
      <c r="I3" s="24" t="inlineStr">
        <is>
          <t>YOY</t>
        </is>
      </c>
      <c r="J3" s="24" t="inlineStr">
        <is>
          <t>구성비</t>
        </is>
      </c>
      <c r="K3" s="99" t="inlineStr">
        <is>
          <t>수량</t>
        </is>
      </c>
      <c r="L3" s="99" t="inlineStr">
        <is>
          <t>전년</t>
        </is>
      </c>
      <c r="M3" s="25" t="inlineStr">
        <is>
          <t>YOY</t>
        </is>
      </c>
      <c r="N3" s="25" t="inlineStr">
        <is>
          <t>구성비</t>
        </is>
      </c>
      <c r="O3" s="77" t="inlineStr">
        <is>
          <t>금액</t>
        </is>
      </c>
      <c r="P3" s="77" t="inlineStr">
        <is>
          <t>전년</t>
        </is>
      </c>
      <c r="Q3" s="25" t="inlineStr">
        <is>
          <t>YOY</t>
        </is>
      </c>
      <c r="R3" s="25" t="inlineStr">
        <is>
          <t>구성비</t>
        </is>
      </c>
      <c r="S3" s="78" t="n"/>
    </row>
    <row r="4" ht="16.5" customHeight="1" s="56">
      <c r="A4" s="79" t="inlineStr">
        <is>
          <t>트로이아르케</t>
        </is>
      </c>
      <c r="B4" s="80" t="inlineStr">
        <is>
          <t>트로이필(웨폰키트)</t>
        </is>
      </c>
      <c r="C4" s="100" t="n">
        <v>191</v>
      </c>
      <c r="D4" s="100" t="n">
        <v>156</v>
      </c>
      <c r="E4" s="8">
        <f>(C4-D4)/D4</f>
        <v/>
      </c>
      <c r="F4" s="8">
        <f>C4/$C$23</f>
        <v/>
      </c>
      <c r="G4" s="82" t="n">
        <v>17820000</v>
      </c>
      <c r="H4" s="82" t="n">
        <v>13680000</v>
      </c>
      <c r="I4" s="8">
        <f>(G4-H4)/H4</f>
        <v/>
      </c>
      <c r="J4" s="8">
        <f>G4/$G$23</f>
        <v/>
      </c>
      <c r="K4" s="101" t="n">
        <v>472</v>
      </c>
      <c r="L4" s="101" t="n">
        <v>464</v>
      </c>
      <c r="M4" s="9">
        <f>(K4-L4)/L4</f>
        <v/>
      </c>
      <c r="N4" s="9">
        <f>K4/$K$23</f>
        <v/>
      </c>
      <c r="O4" s="84" t="n">
        <v>49140000</v>
      </c>
      <c r="P4" s="84" t="n">
        <v>28710000</v>
      </c>
      <c r="Q4" s="9">
        <f>(O4-P4)/P4</f>
        <v/>
      </c>
      <c r="R4" s="9">
        <f>O4/$O$23</f>
        <v/>
      </c>
      <c r="S4" s="85" t="n"/>
    </row>
    <row r="5" ht="16.5" customHeight="1" s="56">
      <c r="A5" s="86" t="n"/>
      <c r="B5" s="80" t="inlineStr">
        <is>
          <t>VVS키트</t>
        </is>
      </c>
      <c r="C5" s="100" t="n">
        <v>97</v>
      </c>
      <c r="D5" s="100" t="n">
        <v>15</v>
      </c>
      <c r="E5" s="8">
        <f>(C5-D5)/D5</f>
        <v/>
      </c>
      <c r="F5" s="8">
        <f>C5/$C$23</f>
        <v/>
      </c>
      <c r="G5" s="82" t="n">
        <v>17114400</v>
      </c>
      <c r="H5" s="82" t="n">
        <v>1080000</v>
      </c>
      <c r="I5" s="8">
        <f>(G5-H5)/H5</f>
        <v/>
      </c>
      <c r="J5" s="8">
        <f>G5/$G$23</f>
        <v/>
      </c>
      <c r="K5" s="101" t="n">
        <v>990</v>
      </c>
      <c r="L5" s="102" t="n">
        <v>443</v>
      </c>
      <c r="M5" s="9">
        <f>(K5-L5)/L5</f>
        <v/>
      </c>
      <c r="N5" s="9">
        <f>K5/$K$23</f>
        <v/>
      </c>
      <c r="O5" s="84" t="n">
        <v>63554400</v>
      </c>
      <c r="P5" s="88" t="n">
        <v>29786400</v>
      </c>
      <c r="Q5" s="9">
        <f>(O5-P5)/P5</f>
        <v/>
      </c>
      <c r="R5" s="9">
        <f>O5/$O$23</f>
        <v/>
      </c>
      <c r="S5" s="85" t="inlineStr">
        <is>
          <t>VVS판매 급증</t>
        </is>
      </c>
    </row>
    <row r="6" ht="16.5" customHeight="1" s="56">
      <c r="A6" s="86" t="n"/>
      <c r="B6" s="80" t="inlineStr">
        <is>
          <t>힐링칵테일</t>
        </is>
      </c>
      <c r="C6" s="103" t="n">
        <v>1188</v>
      </c>
      <c r="D6" s="103" t="n">
        <v>385</v>
      </c>
      <c r="E6" s="8">
        <f>(C6-D6)/D6</f>
        <v/>
      </c>
      <c r="F6" s="8">
        <f>C6/$C$23</f>
        <v/>
      </c>
      <c r="G6" s="90" t="n">
        <v>118804940</v>
      </c>
      <c r="H6" s="90" t="n">
        <v>23336000</v>
      </c>
      <c r="I6" s="8">
        <f>(G6-H6)/H6</f>
        <v/>
      </c>
      <c r="J6" s="8">
        <f>G6/$G$23</f>
        <v/>
      </c>
      <c r="K6" s="101" t="n">
        <v>20634</v>
      </c>
      <c r="L6" s="101" t="n">
        <v>1264</v>
      </c>
      <c r="M6" s="9">
        <f>(K6-L6)/L6</f>
        <v/>
      </c>
      <c r="N6" s="9">
        <f>K6/$K$23</f>
        <v/>
      </c>
      <c r="O6" s="84" t="n">
        <v>656111640</v>
      </c>
      <c r="P6" s="84" t="n">
        <v>68940500</v>
      </c>
      <c r="Q6" s="9">
        <f>(O6-P6)/P6</f>
        <v/>
      </c>
      <c r="R6" s="9">
        <f>O6/$O$23</f>
        <v/>
      </c>
      <c r="S6" s="85" t="inlineStr">
        <is>
          <t>시스랩 70ml 12000개 출고</t>
        </is>
      </c>
    </row>
    <row r="7" ht="16.5" customHeight="1" s="56">
      <c r="A7" s="86" t="n"/>
      <c r="B7" s="80" t="inlineStr">
        <is>
          <t>악센 리커버리</t>
        </is>
      </c>
      <c r="C7" s="103" t="n">
        <v>3379</v>
      </c>
      <c r="D7" s="103" t="n">
        <v>651</v>
      </c>
      <c r="E7" s="8">
        <f>(C7-D7)/D7</f>
        <v/>
      </c>
      <c r="F7" s="8">
        <f>C7/$C$23</f>
        <v/>
      </c>
      <c r="G7" s="90" t="n">
        <v>145186700</v>
      </c>
      <c r="H7" s="90" t="n">
        <v>46223400</v>
      </c>
      <c r="I7" s="8">
        <f>(G7-H7)/H7</f>
        <v/>
      </c>
      <c r="J7" s="8">
        <f>G7/$G$23</f>
        <v/>
      </c>
      <c r="K7" s="101" t="n">
        <v>32475</v>
      </c>
      <c r="L7" s="101" t="n">
        <v>21094</v>
      </c>
      <c r="M7" s="9">
        <f>(K7-L7)/L7</f>
        <v/>
      </c>
      <c r="N7" s="9">
        <f>K7/$K$23</f>
        <v/>
      </c>
      <c r="O7" s="84" t="n">
        <v>1059107300</v>
      </c>
      <c r="P7" s="84" t="n">
        <v>902395000</v>
      </c>
      <c r="Q7" s="9">
        <f>(O7-P7)/P7</f>
        <v/>
      </c>
      <c r="R7" s="9">
        <f>O7/$O$23</f>
        <v/>
      </c>
      <c r="S7" s="85" t="n"/>
    </row>
    <row r="8" ht="16.5" customHeight="1" s="56">
      <c r="A8" s="86" t="n"/>
      <c r="B8" s="80" t="inlineStr">
        <is>
          <t>악센 오일컷클렌징</t>
        </is>
      </c>
      <c r="C8" s="103" t="n">
        <v>3747</v>
      </c>
      <c r="D8" s="103" t="n">
        <v>315</v>
      </c>
      <c r="E8" s="8">
        <f>(C8-D8)/D8</f>
        <v/>
      </c>
      <c r="F8" s="8">
        <f>C8/$C$23</f>
        <v/>
      </c>
      <c r="G8" s="90" t="n">
        <v>82381800</v>
      </c>
      <c r="H8" s="90" t="n">
        <v>14532600</v>
      </c>
      <c r="I8" s="8">
        <f>(G8-H8)/H8</f>
        <v/>
      </c>
      <c r="J8" s="8">
        <f>G8/$G$23</f>
        <v/>
      </c>
      <c r="K8" s="101" t="n">
        <v>10680</v>
      </c>
      <c r="L8" s="101" t="n">
        <v>2570</v>
      </c>
      <c r="M8" s="9">
        <f>(K8-L8)/L8</f>
        <v/>
      </c>
      <c r="N8" s="9">
        <f>K8/$K$23</f>
        <v/>
      </c>
      <c r="O8" s="84" t="n">
        <v>179551600</v>
      </c>
      <c r="P8" s="84" t="n">
        <v>42002200</v>
      </c>
      <c r="Q8" s="9">
        <f>(O8-P8)/P8</f>
        <v/>
      </c>
      <c r="R8" s="9">
        <f>O8/$O$23</f>
        <v/>
      </c>
      <c r="S8" s="85" t="n"/>
    </row>
    <row r="9" ht="16.5" customHeight="1" s="56">
      <c r="A9" s="86" t="n"/>
      <c r="B9" s="80" t="inlineStr">
        <is>
          <t>AGT하이드로 크림</t>
        </is>
      </c>
      <c r="C9" s="100" t="n">
        <v>37</v>
      </c>
      <c r="D9" s="100" t="n">
        <v>5</v>
      </c>
      <c r="E9" s="8">
        <f>(C9-D9)/D9</f>
        <v/>
      </c>
      <c r="F9" s="8">
        <f>C9/$C$23</f>
        <v/>
      </c>
      <c r="G9" s="82" t="n">
        <v>5712000</v>
      </c>
      <c r="H9" s="90" t="n">
        <v>2571000</v>
      </c>
      <c r="I9" s="8">
        <f>(G9-H9)/H9</f>
        <v/>
      </c>
      <c r="J9" s="8">
        <f>G9/$G$23</f>
        <v/>
      </c>
      <c r="K9" s="102" t="n">
        <v>608</v>
      </c>
      <c r="L9" s="101" t="n">
        <v>342</v>
      </c>
      <c r="M9" s="9">
        <f>(K9-L9)/L9</f>
        <v/>
      </c>
      <c r="N9" s="9">
        <f>K9/$K$23</f>
        <v/>
      </c>
      <c r="O9" s="88" t="n">
        <v>17071900</v>
      </c>
      <c r="P9" s="84" t="n">
        <v>9469600</v>
      </c>
      <c r="Q9" s="9">
        <f>(O9-P9)/P9</f>
        <v/>
      </c>
      <c r="R9" s="9">
        <f>O9/$O$23</f>
        <v/>
      </c>
      <c r="S9" s="85" t="n"/>
    </row>
    <row r="10" ht="16.5" customHeight="1" s="56">
      <c r="A10" s="86" t="n"/>
      <c r="B10" s="80" t="inlineStr">
        <is>
          <t>악센 센앰플</t>
        </is>
      </c>
      <c r="C10" s="103" t="n">
        <v>380</v>
      </c>
      <c r="D10" s="103" t="n">
        <v>180</v>
      </c>
      <c r="E10" s="8">
        <f>(C10-D10)/D10</f>
        <v/>
      </c>
      <c r="F10" s="8">
        <f>C10/$C$23</f>
        <v/>
      </c>
      <c r="G10" s="90" t="n">
        <v>7507500</v>
      </c>
      <c r="H10" s="90" t="n">
        <v>4112500</v>
      </c>
      <c r="I10" s="8">
        <f>(G10-H10)/H10</f>
        <v/>
      </c>
      <c r="J10" s="8">
        <f>G10/$G$23</f>
        <v/>
      </c>
      <c r="K10" s="101" t="n">
        <v>663</v>
      </c>
      <c r="L10" s="102" t="n">
        <v>1210</v>
      </c>
      <c r="M10" s="9">
        <f>(K10-L10)/L10</f>
        <v/>
      </c>
      <c r="N10" s="9">
        <f>K10/$K$23</f>
        <v/>
      </c>
      <c r="O10" s="84" t="n">
        <v>14190000</v>
      </c>
      <c r="P10" s="88" t="n">
        <v>12740800</v>
      </c>
      <c r="Q10" s="9">
        <f>(O10-P10)/P10</f>
        <v/>
      </c>
      <c r="R10" s="9">
        <f>O10/$O$23</f>
        <v/>
      </c>
      <c r="S10" s="85" t="n"/>
    </row>
    <row r="11" ht="16.5" customHeight="1" s="56">
      <c r="A11" s="86" t="n"/>
      <c r="B11" s="80" t="inlineStr">
        <is>
          <t>AGT하이드로 에센스</t>
        </is>
      </c>
      <c r="C11" s="103" t="n">
        <v>411</v>
      </c>
      <c r="D11" s="103" t="n">
        <v>356</v>
      </c>
      <c r="E11" s="8">
        <f>(C11-D11)/D11</f>
        <v/>
      </c>
      <c r="F11" s="8">
        <f>C11/$C$23</f>
        <v/>
      </c>
      <c r="G11" s="90" t="n">
        <v>19431450</v>
      </c>
      <c r="H11" s="90" t="n">
        <v>23344000</v>
      </c>
      <c r="I11" s="8">
        <f>(G11-H11)/H11</f>
        <v/>
      </c>
      <c r="J11" s="8">
        <f>G11/$G$23</f>
        <v/>
      </c>
      <c r="K11" s="101" t="n">
        <v>11435</v>
      </c>
      <c r="L11" s="101" t="n">
        <v>4319</v>
      </c>
      <c r="M11" s="9">
        <f>(K11-L11)/L11</f>
        <v/>
      </c>
      <c r="N11" s="9">
        <f>K11/$K$23</f>
        <v/>
      </c>
      <c r="O11" s="84" t="n">
        <v>80095150</v>
      </c>
      <c r="P11" s="84" t="n">
        <v>49709400</v>
      </c>
      <c r="Q11" s="9">
        <f>(O11-P11)/P11</f>
        <v/>
      </c>
      <c r="R11" s="9">
        <f>O11/$O$23</f>
        <v/>
      </c>
      <c r="S11" s="85" t="n"/>
    </row>
    <row r="12" ht="16.5" customHeight="1" s="56">
      <c r="A12" s="86" t="n"/>
      <c r="B12" s="80" t="inlineStr">
        <is>
          <t>에너지크림</t>
        </is>
      </c>
      <c r="C12" s="103" t="n">
        <v>72</v>
      </c>
      <c r="D12" s="103" t="n">
        <v>42</v>
      </c>
      <c r="E12" s="8">
        <f>(C12-D12)/D12</f>
        <v/>
      </c>
      <c r="F12" s="8">
        <f>C12/$C$23</f>
        <v/>
      </c>
      <c r="G12" s="90" t="n">
        <v>7938400</v>
      </c>
      <c r="H12" s="90" t="n">
        <v>3741000</v>
      </c>
      <c r="I12" s="8">
        <f>(G12-H12)/H12</f>
        <v/>
      </c>
      <c r="J12" s="8">
        <f>G12/$G$23</f>
        <v/>
      </c>
      <c r="K12" s="101" t="n">
        <v>2471</v>
      </c>
      <c r="L12" s="101" t="n">
        <v>616</v>
      </c>
      <c r="M12" s="9">
        <f>(K12-L12)/L12</f>
        <v/>
      </c>
      <c r="N12" s="9">
        <f>K12/$K$23</f>
        <v/>
      </c>
      <c r="O12" s="84" t="n">
        <v>41573960</v>
      </c>
      <c r="P12" s="84" t="n">
        <v>30138900</v>
      </c>
      <c r="Q12" s="9">
        <f>(O12-P12)/P12</f>
        <v/>
      </c>
      <c r="R12" s="9">
        <f>O12/$O$23</f>
        <v/>
      </c>
      <c r="S12" s="85" t="n"/>
    </row>
    <row r="13" ht="16.5" customHeight="1" s="56">
      <c r="A13" s="86" t="n"/>
      <c r="B13" s="80" t="inlineStr">
        <is>
          <t>쉴드크림</t>
        </is>
      </c>
      <c r="C13" s="103" t="n">
        <v>149</v>
      </c>
      <c r="D13" s="103" t="n">
        <v>85</v>
      </c>
      <c r="E13" s="8">
        <f>(C13-D13)/D13</f>
        <v/>
      </c>
      <c r="F13" s="8">
        <f>C13/$C$23</f>
        <v/>
      </c>
      <c r="G13" s="90" t="n">
        <v>2288400</v>
      </c>
      <c r="H13" s="90" t="n">
        <v>4370500</v>
      </c>
      <c r="I13" s="8">
        <f>(G13-H13)/H13</f>
        <v/>
      </c>
      <c r="J13" s="8">
        <f>G13/$G$23</f>
        <v/>
      </c>
      <c r="K13" s="101" t="n">
        <v>2920</v>
      </c>
      <c r="L13" s="101" t="n">
        <v>2073</v>
      </c>
      <c r="M13" s="9">
        <f>(K13-L13)/L13</f>
        <v/>
      </c>
      <c r="N13" s="9">
        <f>K13/$K$23</f>
        <v/>
      </c>
      <c r="O13" s="84" t="n">
        <v>49208400</v>
      </c>
      <c r="P13" s="84" t="n">
        <v>10470800</v>
      </c>
      <c r="Q13" s="9">
        <f>(O13-P13)/P13</f>
        <v/>
      </c>
      <c r="R13" s="9">
        <f>O13/$O$23</f>
        <v/>
      </c>
      <c r="S13" s="85" t="n"/>
    </row>
    <row r="14" ht="16.5" customHeight="1" s="56">
      <c r="A14" s="86" t="n"/>
      <c r="B14" s="80" t="inlineStr">
        <is>
          <t>아이크림</t>
        </is>
      </c>
      <c r="C14" s="103" t="n">
        <v>56</v>
      </c>
      <c r="D14" s="103" t="n">
        <v>9</v>
      </c>
      <c r="E14" s="8">
        <f>(C14-D14)/D14</f>
        <v/>
      </c>
      <c r="F14" s="8">
        <f>C14/$C$23</f>
        <v/>
      </c>
      <c r="G14" s="90" t="n">
        <v>3479250</v>
      </c>
      <c r="H14" s="90" t="n">
        <v>764500</v>
      </c>
      <c r="I14" s="8">
        <f>(G14-H14)/H14</f>
        <v/>
      </c>
      <c r="J14" s="8">
        <f>G14/$G$23</f>
        <v/>
      </c>
      <c r="K14" s="101" t="n">
        <v>822</v>
      </c>
      <c r="L14" s="101" t="n">
        <v>582</v>
      </c>
      <c r="M14" s="9">
        <f>(K14-L14)/L14</f>
        <v/>
      </c>
      <c r="N14" s="9">
        <f>K14/$K$23</f>
        <v/>
      </c>
      <c r="O14" s="84" t="n">
        <v>21316150</v>
      </c>
      <c r="P14" s="84" t="n">
        <v>6584500</v>
      </c>
      <c r="Q14" s="9">
        <f>(O14-P14)/P14</f>
        <v/>
      </c>
      <c r="R14" s="9">
        <f>O14/$O$23</f>
        <v/>
      </c>
      <c r="S14" s="85" t="n"/>
    </row>
    <row r="15" ht="16.5" customHeight="1" s="56">
      <c r="A15" s="86" t="n"/>
      <c r="B15" s="80" t="inlineStr">
        <is>
          <t>악센 AC스팟솔루션</t>
        </is>
      </c>
      <c r="C15" s="103" t="n">
        <v>329</v>
      </c>
      <c r="D15" s="103" t="n">
        <v>229</v>
      </c>
      <c r="E15" s="8">
        <f>(C15-D15)/D15</f>
        <v/>
      </c>
      <c r="F15" s="8">
        <f>C15/$C$23</f>
        <v/>
      </c>
      <c r="G15" s="90" t="n">
        <v>7434000</v>
      </c>
      <c r="H15" s="90" t="n">
        <v>7033000</v>
      </c>
      <c r="I15" s="8">
        <f>(G15-H15)/H15</f>
        <v/>
      </c>
      <c r="J15" s="8">
        <f>G15/$G$23</f>
        <v/>
      </c>
      <c r="K15" s="101" t="n">
        <v>958</v>
      </c>
      <c r="L15" s="101" t="n">
        <v>601</v>
      </c>
      <c r="M15" s="9">
        <f>(K15-L15)/L15</f>
        <v/>
      </c>
      <c r="N15" s="9">
        <f>K15/$K$23</f>
        <v/>
      </c>
      <c r="O15" s="84" t="n">
        <v>10920900</v>
      </c>
      <c r="P15" s="84" t="n">
        <v>11851300</v>
      </c>
      <c r="Q15" s="9">
        <f>(O15-P15)/P15</f>
        <v/>
      </c>
      <c r="R15" s="9">
        <f>O15/$O$23</f>
        <v/>
      </c>
      <c r="S15" s="85" t="n"/>
    </row>
    <row r="16" ht="16.5" customHeight="1" s="56">
      <c r="A16" s="86" t="n"/>
      <c r="B16" s="80" t="inlineStr">
        <is>
          <t>악센 UV 프로텍터에센스</t>
        </is>
      </c>
      <c r="C16" s="103" t="n">
        <v>1290</v>
      </c>
      <c r="D16" s="103" t="n">
        <v>2034</v>
      </c>
      <c r="E16" s="8">
        <f>(C16-D16)/D16</f>
        <v/>
      </c>
      <c r="F16" s="8">
        <f>C16/$C$23</f>
        <v/>
      </c>
      <c r="G16" s="90" t="n">
        <v>31570900</v>
      </c>
      <c r="H16" s="90" t="n">
        <v>79234500</v>
      </c>
      <c r="I16" s="8">
        <f>(G16-H16)/H16</f>
        <v/>
      </c>
      <c r="J16" s="8">
        <f>G16/$G$23</f>
        <v/>
      </c>
      <c r="K16" s="101" t="n">
        <v>4202</v>
      </c>
      <c r="L16" s="101" t="n">
        <v>4031</v>
      </c>
      <c r="M16" s="9">
        <f>(K16-L16)/L16</f>
        <v/>
      </c>
      <c r="N16" s="9">
        <f>K16/$K$23</f>
        <v/>
      </c>
      <c r="O16" s="84" t="n">
        <v>80596950</v>
      </c>
      <c r="P16" s="84" t="n">
        <v>83618500</v>
      </c>
      <c r="Q16" s="9">
        <f>(O16-P16)/P16</f>
        <v/>
      </c>
      <c r="R16" s="9">
        <f>O16/$O$23</f>
        <v/>
      </c>
      <c r="S16" s="85" t="n"/>
    </row>
    <row r="17" ht="16.5" customHeight="1" s="56">
      <c r="A17" s="86" t="n"/>
      <c r="B17" s="80" t="inlineStr">
        <is>
          <t>인텐스 UV프로텍터크림</t>
        </is>
      </c>
      <c r="C17" s="103" t="n">
        <v>523</v>
      </c>
      <c r="D17" s="103" t="n">
        <v>854</v>
      </c>
      <c r="E17" s="8">
        <f>(C17-D17)/D17</f>
        <v/>
      </c>
      <c r="F17" s="8">
        <f>C17/$C$23</f>
        <v/>
      </c>
      <c r="G17" s="90" t="n">
        <v>8289500</v>
      </c>
      <c r="H17" s="90" t="n">
        <v>25850000</v>
      </c>
      <c r="I17" s="8">
        <f>(G17-H17)/H17</f>
        <v/>
      </c>
      <c r="J17" s="8">
        <f>G17/$G$23</f>
        <v/>
      </c>
      <c r="K17" s="101" t="n">
        <v>878</v>
      </c>
      <c r="L17" s="101" t="n">
        <v>814</v>
      </c>
      <c r="M17" s="9">
        <f>(K17-L17)/L17</f>
        <v/>
      </c>
      <c r="N17" s="9">
        <f>K17/$K$23</f>
        <v/>
      </c>
      <c r="O17" s="84" t="n">
        <v>24463760</v>
      </c>
      <c r="P17" s="84" t="n">
        <v>27925400</v>
      </c>
      <c r="Q17" s="9">
        <f>(O17-P17)/P17</f>
        <v/>
      </c>
      <c r="R17" s="9">
        <f>O17/$O$23</f>
        <v/>
      </c>
      <c r="S17" s="85" t="n"/>
    </row>
    <row r="18" ht="16.5" customHeight="1" s="56">
      <c r="A18" s="86" t="n"/>
      <c r="B18" s="80" t="inlineStr">
        <is>
          <t>멜라C인퓨저</t>
        </is>
      </c>
      <c r="C18" s="103" t="n">
        <v>6217</v>
      </c>
      <c r="D18" s="103" t="n">
        <v>2298</v>
      </c>
      <c r="E18" s="8">
        <f>(C18-D18)/D18</f>
        <v/>
      </c>
      <c r="F18" s="8">
        <f>C18/$C$23</f>
        <v/>
      </c>
      <c r="G18" s="90" t="n">
        <v>137137000</v>
      </c>
      <c r="H18" s="82" t="n">
        <v>30817500</v>
      </c>
      <c r="I18" s="8">
        <f>(G18-H18)/H18</f>
        <v/>
      </c>
      <c r="J18" s="8">
        <f>G18/$G$23</f>
        <v/>
      </c>
      <c r="K18" s="101" t="n">
        <v>2411</v>
      </c>
      <c r="L18" s="101" t="n">
        <v>2119</v>
      </c>
      <c r="M18" s="9">
        <f>(K18-L18)/L18</f>
        <v/>
      </c>
      <c r="N18" s="9">
        <f>K18/$K$23</f>
        <v/>
      </c>
      <c r="O18" s="84" t="n">
        <v>137137000</v>
      </c>
      <c r="P18" s="84" t="n">
        <v>88322900</v>
      </c>
      <c r="Q18" s="9">
        <f>(O18-P18)/P18</f>
        <v/>
      </c>
      <c r="R18" s="9">
        <f>O18/$O$23</f>
        <v/>
      </c>
      <c r="S18" s="85" t="n"/>
    </row>
    <row r="19" ht="16.5" customHeight="1" s="56">
      <c r="A19" s="86" t="n"/>
      <c r="B19" s="80" t="inlineStr">
        <is>
          <t>GPS마스크 3종</t>
        </is>
      </c>
      <c r="C19" s="103" t="n">
        <v>3035</v>
      </c>
      <c r="D19" s="103" t="n">
        <v>9542</v>
      </c>
      <c r="E19" s="8">
        <f>(C19-D19)/D19</f>
        <v/>
      </c>
      <c r="F19" s="8">
        <f>C19/$C$23</f>
        <v/>
      </c>
      <c r="G19" s="90" t="n">
        <v>15417100</v>
      </c>
      <c r="H19" s="90" t="n">
        <v>46077000</v>
      </c>
      <c r="I19" s="8">
        <f>(G19-H19)/H19</f>
        <v/>
      </c>
      <c r="J19" s="8">
        <f>G19/$G$23</f>
        <v/>
      </c>
      <c r="K19" s="101" t="n">
        <v>9133</v>
      </c>
      <c r="L19" s="101" t="n">
        <v>45131</v>
      </c>
      <c r="M19" s="9">
        <f>(K19-L19)/L19</f>
        <v/>
      </c>
      <c r="N19" s="9">
        <f>K19/$K$23</f>
        <v/>
      </c>
      <c r="O19" s="84" t="n">
        <v>32290100</v>
      </c>
      <c r="P19" s="84" t="n">
        <v>105413800</v>
      </c>
      <c r="Q19" s="9">
        <f>(O19-P19)/P19</f>
        <v/>
      </c>
      <c r="R19" s="9">
        <f>O19/$O$23</f>
        <v/>
      </c>
      <c r="S19" s="85" t="n"/>
    </row>
    <row r="20" ht="16.5" customHeight="1" s="56">
      <c r="A20" s="86" t="n"/>
      <c r="B20" s="80" t="inlineStr">
        <is>
          <t>에스테틱 비비크림</t>
        </is>
      </c>
      <c r="C20" s="103" t="n">
        <v>1749</v>
      </c>
      <c r="D20" s="103" t="n">
        <v>983</v>
      </c>
      <c r="E20" s="8">
        <f>(C20-D20)/D20</f>
        <v/>
      </c>
      <c r="F20" s="8">
        <f>C20/$C$23</f>
        <v/>
      </c>
      <c r="G20" s="90" t="n">
        <v>48043800</v>
      </c>
      <c r="H20" s="90" t="n">
        <v>28115000</v>
      </c>
      <c r="I20" s="8">
        <f>(G20-H20)/H20</f>
        <v/>
      </c>
      <c r="J20" s="8">
        <f>G20/$G$23</f>
        <v/>
      </c>
      <c r="K20" s="101" t="n">
        <v>4542</v>
      </c>
      <c r="L20" s="101" t="n">
        <v>1888</v>
      </c>
      <c r="M20" s="9">
        <f>(K20-L20)/L20</f>
        <v/>
      </c>
      <c r="N20" s="9">
        <f>K20/$K$23</f>
        <v/>
      </c>
      <c r="O20" s="84" t="n">
        <v>96552600</v>
      </c>
      <c r="P20" s="84" t="n">
        <v>81403900</v>
      </c>
      <c r="Q20" s="9">
        <f>(O20-P20)/P20</f>
        <v/>
      </c>
      <c r="R20" s="9">
        <f>O20/$O$23</f>
        <v/>
      </c>
      <c r="S20" s="85" t="n"/>
    </row>
    <row r="21" ht="16.5" customHeight="1" s="56">
      <c r="A21" s="86" t="n"/>
      <c r="B21" s="80" t="inlineStr">
        <is>
          <t>트로이아르케쿠션</t>
        </is>
      </c>
      <c r="C21" s="103" t="n">
        <v>326</v>
      </c>
      <c r="D21" s="103" t="n">
        <v>471</v>
      </c>
      <c r="E21" s="8">
        <f>(C21-D21)/D21</f>
        <v/>
      </c>
      <c r="F21" s="8">
        <f>C21/$C$23</f>
        <v/>
      </c>
      <c r="G21" s="90" t="n">
        <v>8208000</v>
      </c>
      <c r="H21" s="90" t="n">
        <v>12600000</v>
      </c>
      <c r="I21" s="8">
        <f>(G21-H21)/H21</f>
        <v/>
      </c>
      <c r="J21" s="8">
        <f>G21/$G$23</f>
        <v/>
      </c>
      <c r="K21" s="101" t="n">
        <v>1429</v>
      </c>
      <c r="L21" s="101" t="n">
        <v>1963</v>
      </c>
      <c r="M21" s="9">
        <f>(K21-L21)/L21</f>
        <v/>
      </c>
      <c r="N21" s="9">
        <f>K21/$K$23</f>
        <v/>
      </c>
      <c r="O21" s="84" t="n">
        <v>23661600</v>
      </c>
      <c r="P21" s="84" t="n">
        <v>29310600</v>
      </c>
      <c r="Q21" s="9">
        <f>(O21-P21)/P21</f>
        <v/>
      </c>
      <c r="R21" s="9">
        <f>O21/$O$23</f>
        <v/>
      </c>
      <c r="S21" s="85" t="n"/>
    </row>
    <row r="22" ht="16.5" customHeight="1" s="56">
      <c r="A22" s="86" t="n"/>
      <c r="B22" s="80" t="inlineStr">
        <is>
          <t>기타(링플, 샤쉐, LD, 악센)</t>
        </is>
      </c>
      <c r="C22" s="103" t="n">
        <v>24027</v>
      </c>
      <c r="D22" s="103" t="n">
        <v>7291</v>
      </c>
      <c r="E22" s="8">
        <f>(C22-D22)/D22</f>
        <v/>
      </c>
      <c r="F22" s="8">
        <f>C22/$C$23</f>
        <v/>
      </c>
      <c r="G22" s="90" t="n">
        <v>78244470</v>
      </c>
      <c r="H22" s="90" t="n">
        <v>120189200</v>
      </c>
      <c r="I22" s="8">
        <f>(G22-H22)/H22</f>
        <v/>
      </c>
      <c r="J22" s="8">
        <f>G22/$G$23</f>
        <v/>
      </c>
      <c r="K22" s="101" t="n">
        <v>16864</v>
      </c>
      <c r="L22" s="101" t="n">
        <v>17659</v>
      </c>
      <c r="M22" s="9">
        <f>(K22-L22)/L22</f>
        <v/>
      </c>
      <c r="N22" s="9">
        <f>K22/$K$23</f>
        <v/>
      </c>
      <c r="O22" s="84" t="n">
        <v>214440220</v>
      </c>
      <c r="P22" s="84" t="n">
        <v>311056400</v>
      </c>
      <c r="Q22" s="9">
        <f>(O22-P22)/P22</f>
        <v/>
      </c>
      <c r="R22" s="9">
        <f>O22/$O$23</f>
        <v/>
      </c>
      <c r="S22" s="85" t="n"/>
    </row>
    <row r="23" ht="16.5" customFormat="1" customHeight="1" s="91">
      <c r="A23" s="78" t="n"/>
      <c r="B23" s="92" t="inlineStr">
        <is>
          <t>소계</t>
        </is>
      </c>
      <c r="C23" s="104">
        <f>SUM(C4:C22)</f>
        <v/>
      </c>
      <c r="D23" s="104">
        <f>SUM(D4:D22)</f>
        <v/>
      </c>
      <c r="E23" s="20">
        <f>(C23-D23)/D23</f>
        <v/>
      </c>
      <c r="F23" s="20">
        <f>C23/$C$52</f>
        <v/>
      </c>
      <c r="G23" s="94">
        <f>SUM(G4:G22)</f>
        <v/>
      </c>
      <c r="H23" s="94">
        <f>SUM(H4:H22)</f>
        <v/>
      </c>
      <c r="I23" s="20">
        <f>(G23-H23)/H23</f>
        <v/>
      </c>
      <c r="J23" s="20">
        <f>G23/$G$52</f>
        <v/>
      </c>
      <c r="K23" s="104">
        <f>SUM(K4:K22)</f>
        <v/>
      </c>
      <c r="L23" s="104">
        <f>SUM(L4:L22)</f>
        <v/>
      </c>
      <c r="M23" s="20">
        <f>(K23-L23)/L23</f>
        <v/>
      </c>
      <c r="N23" s="20">
        <f>K23/$K$52</f>
        <v/>
      </c>
      <c r="O23" s="94">
        <f>SUM(O4:O22)</f>
        <v/>
      </c>
      <c r="P23" s="94">
        <f>SUM(P4:P22)</f>
        <v/>
      </c>
      <c r="Q23" s="20">
        <f>(O23-P23)/P23</f>
        <v/>
      </c>
      <c r="R23" s="20">
        <f>O23/$O$52</f>
        <v/>
      </c>
      <c r="S23" s="95" t="n"/>
      <c r="T23" s="65" t="n"/>
      <c r="U23" s="65" t="n"/>
      <c r="V23" s="65" t="n"/>
      <c r="W23" s="65" t="n"/>
      <c r="X23" s="65" t="n"/>
      <c r="Y23" s="65" t="n"/>
      <c r="Z23" s="65" t="n"/>
      <c r="AA23" s="65" t="n"/>
      <c r="AB23" s="65" t="n"/>
      <c r="AC23" s="65" t="n"/>
      <c r="AD23" s="65" t="n"/>
      <c r="AE23" s="65" t="n"/>
      <c r="AF23" s="65" t="n"/>
      <c r="AG23" s="65" t="n"/>
      <c r="AH23" s="65" t="n"/>
      <c r="AI23" s="65" t="n"/>
      <c r="AJ23" s="65" t="n"/>
      <c r="AK23" s="65" t="n"/>
      <c r="AL23" s="65" t="n"/>
      <c r="AM23" s="65" t="n"/>
      <c r="AN23" s="65" t="n"/>
      <c r="AO23" s="65" t="n"/>
      <c r="AP23" s="65" t="n"/>
      <c r="AQ23" s="65" t="n"/>
      <c r="AR23" s="65" t="n"/>
      <c r="AS23" s="65" t="n"/>
      <c r="AT23" s="65" t="n"/>
      <c r="AU23" s="65" t="n"/>
      <c r="AV23" s="65" t="n"/>
      <c r="AW23" s="65" t="n"/>
      <c r="AX23" s="65" t="n"/>
      <c r="AY23" s="65" t="n"/>
      <c r="AZ23" s="65" t="n"/>
      <c r="BA23" s="65" t="n"/>
      <c r="BB23" s="65" t="n"/>
      <c r="BC23" s="65" t="n"/>
      <c r="BD23" s="65" t="n"/>
      <c r="BE23" s="65" t="n"/>
      <c r="BF23" s="65" t="n"/>
      <c r="BG23" s="65" t="n"/>
      <c r="BH23" s="65" t="n"/>
      <c r="BI23" s="65" t="n"/>
      <c r="BJ23" s="65" t="n"/>
      <c r="BK23" s="65" t="n"/>
      <c r="BL23" s="65" t="n"/>
      <c r="BM23" s="65" t="n"/>
    </row>
    <row r="24" ht="16.5" customHeight="1" s="56">
      <c r="A24" s="79" t="inlineStr">
        <is>
          <t>TA 서울라인</t>
        </is>
      </c>
      <c r="B24" s="80" t="inlineStr">
        <is>
          <t>엑토인 톤업 선세럼</t>
        </is>
      </c>
      <c r="C24" s="103" t="n">
        <v>878</v>
      </c>
      <c r="D24" s="103" t="n"/>
      <c r="E24" s="8" t="n"/>
      <c r="F24" s="8">
        <f>C24/$C$31</f>
        <v/>
      </c>
      <c r="G24" s="90" t="n">
        <v>40508000</v>
      </c>
      <c r="H24" s="90" t="n"/>
      <c r="I24" s="8" t="n"/>
      <c r="J24" s="8">
        <f>G24/$G$31</f>
        <v/>
      </c>
      <c r="K24" s="101" t="n">
        <v>1982</v>
      </c>
      <c r="L24" s="101" t="n"/>
      <c r="M24" s="9" t="n"/>
      <c r="N24" s="9">
        <f>K24/$K$31</f>
        <v/>
      </c>
      <c r="O24" s="84" t="n">
        <v>107614000</v>
      </c>
      <c r="P24" s="84" t="n"/>
      <c r="Q24" s="9" t="n"/>
      <c r="R24" s="9">
        <f>O24/$O$31</f>
        <v/>
      </c>
      <c r="S24" s="85" t="n"/>
    </row>
    <row r="25" ht="16.5" customHeight="1" s="56">
      <c r="A25" s="86" t="n"/>
      <c r="B25" s="80" t="inlineStr">
        <is>
          <t>옥시젠 토닝 클렌저</t>
        </is>
      </c>
      <c r="C25" s="103" t="n">
        <v>119</v>
      </c>
      <c r="D25" s="103" t="n"/>
      <c r="E25" s="8" t="n"/>
      <c r="F25" s="8">
        <f>C25/$C$23</f>
        <v/>
      </c>
      <c r="G25" s="90" t="n">
        <v>4794000</v>
      </c>
      <c r="H25" s="90" t="n"/>
      <c r="I25" s="8" t="n"/>
      <c r="J25" s="8">
        <f>G25/$G$31</f>
        <v/>
      </c>
      <c r="K25" s="101" t="n">
        <v>184</v>
      </c>
      <c r="L25" s="101" t="n"/>
      <c r="M25" s="9" t="n"/>
      <c r="N25" s="9">
        <f>K25/$K$31</f>
        <v/>
      </c>
      <c r="O25" s="84" t="n">
        <v>7411700</v>
      </c>
      <c r="P25" s="84" t="n"/>
      <c r="Q25" s="9" t="n"/>
      <c r="R25" s="9">
        <f>O25/$O$31</f>
        <v/>
      </c>
      <c r="S25" s="85" t="n"/>
    </row>
    <row r="26" ht="16.5" customHeight="1" s="56">
      <c r="A26" s="86" t="n"/>
      <c r="B26" s="80" t="inlineStr">
        <is>
          <t>워터인 퀀칭 세럼</t>
        </is>
      </c>
      <c r="C26" s="100" t="n">
        <v>39</v>
      </c>
      <c r="D26" s="103" t="n"/>
      <c r="E26" s="8" t="n"/>
      <c r="F26" s="8">
        <f>C26/$C$23</f>
        <v/>
      </c>
      <c r="G26" s="82" t="n">
        <v>1507500</v>
      </c>
      <c r="H26" s="90" t="n"/>
      <c r="I26" s="8" t="n"/>
      <c r="J26" s="8">
        <f>G26/$G$31</f>
        <v/>
      </c>
      <c r="K26" s="101" t="n">
        <v>146</v>
      </c>
      <c r="L26" s="101" t="n"/>
      <c r="M26" s="9" t="n"/>
      <c r="N26" s="9">
        <f>K26/$K$31</f>
        <v/>
      </c>
      <c r="O26" s="84" t="n">
        <v>5081625</v>
      </c>
      <c r="P26" s="84" t="n"/>
      <c r="Q26" s="9" t="n"/>
      <c r="R26" s="9">
        <f>O26/$O$31</f>
        <v/>
      </c>
      <c r="S26" s="85" t="n"/>
    </row>
    <row r="27" ht="16.5" customHeight="1" s="56">
      <c r="A27" s="86" t="n"/>
      <c r="B27" s="80" t="inlineStr">
        <is>
          <t>엑토인 퀀칭 크림</t>
        </is>
      </c>
      <c r="C27" s="100" t="n">
        <v>36</v>
      </c>
      <c r="D27" s="103" t="n"/>
      <c r="E27" s="8" t="n"/>
      <c r="F27" s="8">
        <f>C27/$C$23</f>
        <v/>
      </c>
      <c r="G27" s="90" t="n">
        <v>1494500</v>
      </c>
      <c r="H27" s="90" t="n"/>
      <c r="I27" s="8" t="n"/>
      <c r="J27" s="8">
        <f>G27/$G$31</f>
        <v/>
      </c>
      <c r="K27" s="101" t="n">
        <v>173</v>
      </c>
      <c r="L27" s="101" t="n"/>
      <c r="M27" s="9" t="n"/>
      <c r="N27" s="9">
        <f>K27/$K$31</f>
        <v/>
      </c>
      <c r="O27" s="84" t="n">
        <v>4510625</v>
      </c>
      <c r="P27" s="84" t="n"/>
      <c r="Q27" s="9" t="n"/>
      <c r="R27" s="9">
        <f>O27/$O$31</f>
        <v/>
      </c>
      <c r="S27" s="85" t="n"/>
    </row>
    <row r="28" ht="16.5" customHeight="1" s="56">
      <c r="A28" s="86" t="n"/>
      <c r="B28" s="80" t="inlineStr">
        <is>
          <t>더마인 리+베리어</t>
        </is>
      </c>
      <c r="C28" s="103" t="n">
        <v>22</v>
      </c>
      <c r="D28" s="103" t="n"/>
      <c r="E28" s="8" t="n"/>
      <c r="F28" s="8">
        <f>C28/$C$23</f>
        <v/>
      </c>
      <c r="G28" s="90" t="n">
        <v>1085000</v>
      </c>
      <c r="H28" s="90" t="n"/>
      <c r="I28" s="8" t="n"/>
      <c r="J28" s="8">
        <f>G28/$G$31</f>
        <v/>
      </c>
      <c r="K28" s="101" t="n">
        <v>154</v>
      </c>
      <c r="L28" s="101" t="n"/>
      <c r="M28" s="9" t="n"/>
      <c r="N28" s="9">
        <f>K28/$K$31</f>
        <v/>
      </c>
      <c r="O28" s="84" t="n">
        <v>2380000</v>
      </c>
      <c r="P28" s="84" t="n"/>
      <c r="Q28" s="9" t="n"/>
      <c r="R28" s="9">
        <f>O28/$O$31</f>
        <v/>
      </c>
      <c r="S28" s="85" t="n"/>
    </row>
    <row r="29" ht="16.5" customHeight="1" s="56">
      <c r="A29" s="86" t="n"/>
      <c r="B29" s="80" t="inlineStr">
        <is>
          <t>신부쿠션 21호/22호</t>
        </is>
      </c>
      <c r="C29" s="103" t="n">
        <v>1527</v>
      </c>
      <c r="D29" s="103" t="n">
        <v>832</v>
      </c>
      <c r="E29" s="8">
        <f>(C29-D29)/D29</f>
        <v/>
      </c>
      <c r="F29" s="8">
        <f>C29/$C$23</f>
        <v/>
      </c>
      <c r="G29" s="90" t="n">
        <v>41234200</v>
      </c>
      <c r="H29" s="90" t="n">
        <v>19125050</v>
      </c>
      <c r="I29" s="8">
        <f>(G29-H29)/H29</f>
        <v/>
      </c>
      <c r="J29" s="8">
        <f>G29/$G$31</f>
        <v/>
      </c>
      <c r="K29" s="101" t="n">
        <v>3173</v>
      </c>
      <c r="L29" s="101" t="n">
        <v>1326</v>
      </c>
      <c r="M29" s="9">
        <f>(K29-L29)/L29</f>
        <v/>
      </c>
      <c r="N29" s="9">
        <f>K29/$K$31</f>
        <v/>
      </c>
      <c r="O29" s="84" t="n">
        <v>78808050</v>
      </c>
      <c r="P29" s="84" t="n">
        <v>53162650</v>
      </c>
      <c r="Q29" s="9">
        <f>(O29-P29)/P29</f>
        <v/>
      </c>
      <c r="R29" s="9">
        <f>O29/$O$31</f>
        <v/>
      </c>
      <c r="S29" s="85" t="n"/>
    </row>
    <row r="30" ht="16.5" customHeight="1" s="56">
      <c r="A30" s="86" t="n"/>
      <c r="B30" s="80" t="inlineStr">
        <is>
          <t>기타(세트상품)</t>
        </is>
      </c>
      <c r="C30" s="103" t="n">
        <v>7428</v>
      </c>
      <c r="D30" s="103" t="n">
        <v>6381</v>
      </c>
      <c r="E30" s="8" t="n"/>
      <c r="F30" s="8">
        <f>C30/$C$23</f>
        <v/>
      </c>
      <c r="G30" s="90" t="n">
        <v>4494000</v>
      </c>
      <c r="H30" s="90" t="n"/>
      <c r="I30" s="8" t="n"/>
      <c r="J30" s="8">
        <f>G30/$G$31</f>
        <v/>
      </c>
      <c r="K30" s="101" t="n">
        <v>161</v>
      </c>
      <c r="L30" s="101" t="n"/>
      <c r="M30" s="9" t="n"/>
      <c r="N30" s="9">
        <f>K30/$K$31</f>
        <v/>
      </c>
      <c r="O30" s="84" t="n">
        <v>16471800</v>
      </c>
      <c r="P30" s="84" t="n"/>
      <c r="Q30" s="9" t="n"/>
      <c r="R30" s="9">
        <f>O30/$O$31</f>
        <v/>
      </c>
      <c r="S30" s="85" t="n"/>
    </row>
    <row r="31" ht="16.5" customFormat="1" customHeight="1" s="91">
      <c r="A31" s="78" t="n"/>
      <c r="B31" s="92" t="inlineStr">
        <is>
          <t>소계</t>
        </is>
      </c>
      <c r="C31" s="104">
        <f>SUM(C24:C30)</f>
        <v/>
      </c>
      <c r="D31" s="104">
        <f>SUM(D24:D30)</f>
        <v/>
      </c>
      <c r="E31" s="20">
        <f>(C31-D31)/D31</f>
        <v/>
      </c>
      <c r="F31" s="20">
        <f>C31/$C$52</f>
        <v/>
      </c>
      <c r="G31" s="94">
        <f>SUM(G24:G30)</f>
        <v/>
      </c>
      <c r="H31" s="94">
        <f>SUM(H24:H30)</f>
        <v/>
      </c>
      <c r="I31" s="20">
        <f>(G31-H31)/H31</f>
        <v/>
      </c>
      <c r="J31" s="20">
        <f>G31/$G$52</f>
        <v/>
      </c>
      <c r="K31" s="104">
        <f>SUM(K24:K30)</f>
        <v/>
      </c>
      <c r="L31" s="104">
        <f>SUM(L24:L30)</f>
        <v/>
      </c>
      <c r="M31" s="20">
        <f>(K31-L31)/L31</f>
        <v/>
      </c>
      <c r="N31" s="20">
        <f>K31/$K$52</f>
        <v/>
      </c>
      <c r="O31" s="94">
        <f>SUM(O24:O30)</f>
        <v/>
      </c>
      <c r="P31" s="94">
        <f>SUM(P24:P30)</f>
        <v/>
      </c>
      <c r="Q31" s="20">
        <f>(O31-P31)/P31</f>
        <v/>
      </c>
      <c r="R31" s="20">
        <f>O31/$O$52</f>
        <v/>
      </c>
      <c r="S31" s="95" t="n"/>
      <c r="T31" s="65" t="n"/>
      <c r="U31" s="65" t="n"/>
      <c r="V31" s="65" t="n"/>
      <c r="W31" s="65" t="n"/>
      <c r="X31" s="65" t="n"/>
      <c r="Y31" s="65" t="n"/>
      <c r="Z31" s="65" t="n"/>
      <c r="AA31" s="65" t="n"/>
      <c r="AB31" s="65" t="n"/>
      <c r="AC31" s="65" t="n"/>
      <c r="AD31" s="65" t="n"/>
      <c r="AE31" s="65" t="n"/>
      <c r="AF31" s="65" t="n"/>
      <c r="AG31" s="65" t="n"/>
      <c r="AH31" s="65" t="n"/>
      <c r="AI31" s="65" t="n"/>
      <c r="AJ31" s="65" t="n"/>
      <c r="AK31" s="65" t="n"/>
      <c r="AL31" s="65" t="n"/>
      <c r="AM31" s="65" t="n"/>
      <c r="AN31" s="65" t="n"/>
      <c r="AO31" s="65" t="n"/>
      <c r="AP31" s="65" t="n"/>
      <c r="AQ31" s="65" t="n"/>
      <c r="AR31" s="65" t="n"/>
      <c r="AS31" s="65" t="n"/>
      <c r="AT31" s="65" t="n"/>
      <c r="AU31" s="65" t="n"/>
      <c r="AV31" s="65" t="n"/>
      <c r="AW31" s="65" t="n"/>
      <c r="AX31" s="65" t="n"/>
      <c r="AY31" s="65" t="n"/>
      <c r="AZ31" s="65" t="n"/>
      <c r="BA31" s="65" t="n"/>
      <c r="BB31" s="65" t="n"/>
      <c r="BC31" s="65" t="n"/>
      <c r="BD31" s="65" t="n"/>
      <c r="BE31" s="65" t="n"/>
      <c r="BF31" s="65" t="n"/>
      <c r="BG31" s="65" t="n"/>
      <c r="BH31" s="65" t="n"/>
      <c r="BI31" s="65" t="n"/>
      <c r="BJ31" s="65" t="n"/>
      <c r="BK31" s="65" t="n"/>
      <c r="BL31" s="65" t="n"/>
      <c r="BM31" s="65" t="n"/>
    </row>
    <row r="32" ht="16.5" customHeight="1" s="56">
      <c r="A32" s="79" t="inlineStr">
        <is>
          <t>미용기기</t>
        </is>
      </c>
      <c r="B32" s="80" t="inlineStr">
        <is>
          <t>멜라소닉(부속품포함)</t>
        </is>
      </c>
      <c r="C32" s="103" t="n">
        <v>9</v>
      </c>
      <c r="D32" s="103" t="n">
        <v>26</v>
      </c>
      <c r="E32" s="8">
        <f>(C32-D32)/D32</f>
        <v/>
      </c>
      <c r="F32" s="8">
        <f>C32/$C$36</f>
        <v/>
      </c>
      <c r="G32" s="90" t="n">
        <v>323400</v>
      </c>
      <c r="H32" s="90" t="n">
        <v>30129000</v>
      </c>
      <c r="I32" s="8">
        <f>(G32-H32)/H32</f>
        <v/>
      </c>
      <c r="J32" s="8">
        <f>G32/$G$36</f>
        <v/>
      </c>
      <c r="K32" s="101" t="n">
        <v>25</v>
      </c>
      <c r="L32" s="101" t="n">
        <v>75</v>
      </c>
      <c r="M32" s="9">
        <f>(K32-L32)/L32</f>
        <v/>
      </c>
      <c r="N32" s="9">
        <f>K32/$K$36</f>
        <v/>
      </c>
      <c r="O32" s="84" t="n">
        <v>598400</v>
      </c>
      <c r="P32" s="84" t="n">
        <v>36602500</v>
      </c>
      <c r="Q32" s="9">
        <f>(O32-P32)/P32</f>
        <v/>
      </c>
      <c r="R32" s="9">
        <f>O32/$O$36</f>
        <v/>
      </c>
      <c r="S32" s="85" t="n"/>
    </row>
    <row r="33" ht="16.5" customHeight="1" s="56">
      <c r="A33" s="86" t="n"/>
      <c r="B33" s="80" t="inlineStr">
        <is>
          <t>아크소닉(부속품포함)</t>
        </is>
      </c>
      <c r="C33" s="103" t="n"/>
      <c r="D33" s="103" t="n">
        <v>24</v>
      </c>
      <c r="E33" s="8">
        <f>(C33-D33)/D33</f>
        <v/>
      </c>
      <c r="F33" s="8">
        <f>C33/$C$36</f>
        <v/>
      </c>
      <c r="G33" s="90" t="n"/>
      <c r="H33" s="82" t="n">
        <v>14355000</v>
      </c>
      <c r="I33" s="8">
        <f>(G33-H33)/H33</f>
        <v/>
      </c>
      <c r="J33" s="8">
        <f>G33/$G$36</f>
        <v/>
      </c>
      <c r="K33" s="101" t="n"/>
      <c r="L33" s="101" t="n">
        <v>113</v>
      </c>
      <c r="M33" s="9">
        <f>(K33-L33)/L33</f>
        <v/>
      </c>
      <c r="N33" s="9">
        <f>K33/$K$36</f>
        <v/>
      </c>
      <c r="O33" s="84" t="n"/>
      <c r="P33" s="84" t="n">
        <v>117645000</v>
      </c>
      <c r="Q33" s="9">
        <f>(O33-P33)/P33</f>
        <v/>
      </c>
      <c r="R33" s="9">
        <f>O33/$O$36</f>
        <v/>
      </c>
      <c r="S33" s="85" t="n"/>
    </row>
    <row r="34" ht="16.5" customHeight="1" s="56">
      <c r="A34" s="86" t="n"/>
      <c r="B34" s="80" t="inlineStr">
        <is>
          <t>엘디소닉(부속품포함)</t>
        </is>
      </c>
      <c r="C34" s="103" t="n">
        <v>1</v>
      </c>
      <c r="D34" s="103" t="n"/>
      <c r="E34" s="8" t="n"/>
      <c r="F34" s="8">
        <f>C34/$C$36</f>
        <v/>
      </c>
      <c r="G34" s="90" t="n">
        <v>6490000</v>
      </c>
      <c r="H34" s="90" t="n"/>
      <c r="I34" s="8" t="n"/>
      <c r="J34" s="8">
        <f>G34/$G$36</f>
        <v/>
      </c>
      <c r="K34" s="101" t="n">
        <v>1</v>
      </c>
      <c r="L34" s="101" t="n"/>
      <c r="M34" s="9" t="n"/>
      <c r="N34" s="9">
        <f>K34/$K$36</f>
        <v/>
      </c>
      <c r="O34" s="84" t="n">
        <v>6490000</v>
      </c>
      <c r="P34" s="84" t="n"/>
      <c r="Q34" s="9" t="n"/>
      <c r="R34" s="9">
        <f>O34/$O$36</f>
        <v/>
      </c>
      <c r="S34" s="85" t="n"/>
    </row>
    <row r="35" ht="16.5" customHeight="1" s="56">
      <c r="A35" s="86" t="n"/>
      <c r="B35" s="80" t="inlineStr">
        <is>
          <t>AI피부진단기</t>
        </is>
      </c>
      <c r="C35" s="105" t="n">
        <v>1</v>
      </c>
      <c r="D35" s="100" t="n"/>
      <c r="E35" s="8" t="n"/>
      <c r="F35" s="8">
        <f>C35/$C$36</f>
        <v/>
      </c>
      <c r="G35" s="90" t="n">
        <v>750000</v>
      </c>
      <c r="H35" s="90" t="n"/>
      <c r="I35" s="8" t="n"/>
      <c r="J35" s="8">
        <f>G35/$G$36</f>
        <v/>
      </c>
      <c r="K35" s="101" t="n">
        <v>14</v>
      </c>
      <c r="L35" s="101" t="n"/>
      <c r="M35" s="9" t="n"/>
      <c r="N35" s="9">
        <f>K35/$K$36</f>
        <v/>
      </c>
      <c r="O35" s="84" t="n">
        <v>9000000</v>
      </c>
      <c r="P35" s="84" t="n"/>
      <c r="Q35" s="9" t="n"/>
      <c r="R35" s="9">
        <f>O35/$O$36</f>
        <v/>
      </c>
      <c r="S35" s="85" t="n"/>
    </row>
    <row r="36" ht="16.5" customFormat="1" customHeight="1" s="91">
      <c r="A36" s="78" t="n"/>
      <c r="B36" s="92" t="inlineStr">
        <is>
          <t>소계</t>
        </is>
      </c>
      <c r="C36" s="104">
        <f>SUM(C32:C35)</f>
        <v/>
      </c>
      <c r="D36" s="104">
        <f>SUM(D32:D35)</f>
        <v/>
      </c>
      <c r="E36" s="20">
        <f>(C36-D36)/D36</f>
        <v/>
      </c>
      <c r="F36" s="20">
        <f>C36/$C$52</f>
        <v/>
      </c>
      <c r="G36" s="94">
        <f>SUM(G32:G35)</f>
        <v/>
      </c>
      <c r="H36" s="94">
        <f>SUM(H32:H35)</f>
        <v/>
      </c>
      <c r="I36" s="20">
        <f>(G36-H36)/H36</f>
        <v/>
      </c>
      <c r="J36" s="20">
        <f>G36/$G$52</f>
        <v/>
      </c>
      <c r="K36" s="104">
        <f>SUM(K32:K35)</f>
        <v/>
      </c>
      <c r="L36" s="104">
        <f>SUM(L32:L35)</f>
        <v/>
      </c>
      <c r="M36" s="20">
        <f>(K36-L36)/L36</f>
        <v/>
      </c>
      <c r="N36" s="20">
        <f>K36/$K$52</f>
        <v/>
      </c>
      <c r="O36" s="94">
        <f>SUM(O32:O35)</f>
        <v/>
      </c>
      <c r="P36" s="94">
        <f>SUM(P32:P35)</f>
        <v/>
      </c>
      <c r="Q36" s="20">
        <f>(O36-P36)/P36</f>
        <v/>
      </c>
      <c r="R36" s="20">
        <f>O36/$O$52</f>
        <v/>
      </c>
      <c r="S36" s="9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65" t="n"/>
      <c r="AM36" s="65" t="n"/>
      <c r="AN36" s="65" t="n"/>
      <c r="AO36" s="65" t="n"/>
      <c r="AP36" s="65" t="n"/>
      <c r="AQ36" s="65" t="n"/>
      <c r="AR36" s="65" t="n"/>
      <c r="AS36" s="65" t="n"/>
      <c r="AT36" s="65" t="n"/>
      <c r="AU36" s="65" t="n"/>
      <c r="AV36" s="65" t="n"/>
      <c r="AW36" s="65" t="n"/>
      <c r="AX36" s="65" t="n"/>
      <c r="AY36" s="65" t="n"/>
      <c r="AZ36" s="65" t="n"/>
      <c r="BA36" s="65" t="n"/>
      <c r="BB36" s="65" t="n"/>
      <c r="BC36" s="65" t="n"/>
      <c r="BD36" s="65" t="n"/>
      <c r="BE36" s="65" t="n"/>
      <c r="BF36" s="65" t="n"/>
      <c r="BG36" s="65" t="n"/>
      <c r="BH36" s="65" t="n"/>
      <c r="BI36" s="65" t="n"/>
      <c r="BJ36" s="65" t="n"/>
      <c r="BK36" s="65" t="n"/>
      <c r="BL36" s="65" t="n"/>
      <c r="BM36" s="65" t="n"/>
    </row>
    <row r="37" ht="13.5" customHeight="1" s="56">
      <c r="A37" s="79" t="inlineStr">
        <is>
          <t>담 향</t>
        </is>
      </c>
      <c r="B37" s="85" t="inlineStr">
        <is>
          <t>소프트브레스</t>
        </is>
      </c>
      <c r="C37" s="103" t="n">
        <v>16</v>
      </c>
      <c r="D37" s="103" t="n">
        <v>1</v>
      </c>
      <c r="E37" s="8" t="n"/>
      <c r="F37" s="8">
        <f>C37/$C$40</f>
        <v/>
      </c>
      <c r="G37" s="90" t="n">
        <v>456000</v>
      </c>
      <c r="H37" s="90" t="n">
        <v>40000</v>
      </c>
      <c r="I37" s="8" t="n"/>
      <c r="J37" s="8">
        <f>G37/$G$40</f>
        <v/>
      </c>
      <c r="K37" s="101" t="n">
        <v>46</v>
      </c>
      <c r="L37" s="101" t="n">
        <v>60</v>
      </c>
      <c r="M37" s="9">
        <f>(K37-L37)/L37</f>
        <v/>
      </c>
      <c r="N37" s="9">
        <f>K37/$K$40</f>
        <v/>
      </c>
      <c r="O37" s="84" t="n">
        <v>1056000</v>
      </c>
      <c r="P37" s="84" t="n">
        <v>1200000</v>
      </c>
      <c r="Q37" s="9">
        <f>(O37-P37)/P37</f>
        <v/>
      </c>
      <c r="R37" s="9">
        <f>O37/$O$40</f>
        <v/>
      </c>
      <c r="S37" s="85" t="n"/>
    </row>
    <row r="38">
      <c r="A38" s="86" t="n"/>
      <c r="B38" s="85" t="inlineStr">
        <is>
          <t>슈퍼아로마</t>
        </is>
      </c>
      <c r="C38" s="103" t="n">
        <v>13</v>
      </c>
      <c r="D38" s="103" t="n">
        <v>22</v>
      </c>
      <c r="E38" s="8" t="n"/>
      <c r="F38" s="8">
        <f>C38/$C$40</f>
        <v/>
      </c>
      <c r="G38" s="82" t="n">
        <v>414000</v>
      </c>
      <c r="H38" s="90" t="n">
        <v>600000</v>
      </c>
      <c r="I38" s="8" t="n"/>
      <c r="J38" s="8">
        <f>G38/$G$40</f>
        <v/>
      </c>
      <c r="K38" s="101" t="n">
        <v>44</v>
      </c>
      <c r="L38" s="101" t="n">
        <v>48</v>
      </c>
      <c r="M38" s="9">
        <f>(K38-L38)/L38</f>
        <v/>
      </c>
      <c r="N38" s="9">
        <f>K38/$K$40</f>
        <v/>
      </c>
      <c r="O38" s="84" t="n">
        <v>1164000</v>
      </c>
      <c r="P38" s="84" t="n">
        <v>1150000</v>
      </c>
      <c r="Q38" s="9">
        <f>(O38-P38)/P38</f>
        <v/>
      </c>
      <c r="R38" s="9">
        <f>O38/$O$40</f>
        <v/>
      </c>
      <c r="S38" s="85" t="n"/>
    </row>
    <row r="39">
      <c r="A39" s="86" t="n"/>
      <c r="B39" s="85" t="inlineStr">
        <is>
          <t>기타</t>
        </is>
      </c>
      <c r="C39" s="103" t="n">
        <v>67</v>
      </c>
      <c r="D39" s="103" t="n">
        <v>26</v>
      </c>
      <c r="E39" s="8">
        <f>(C39-D39)/D39</f>
        <v/>
      </c>
      <c r="F39" s="8">
        <f>C39/$C$40</f>
        <v/>
      </c>
      <c r="G39" s="90" t="n">
        <v>2552640</v>
      </c>
      <c r="H39" s="90" t="n">
        <v>2494000</v>
      </c>
      <c r="I39" s="8">
        <f>(G39-H39)/H39</f>
        <v/>
      </c>
      <c r="J39" s="8">
        <f>G39/$G$40</f>
        <v/>
      </c>
      <c r="K39" s="101" t="n">
        <v>181</v>
      </c>
      <c r="L39" s="101" t="n">
        <v>330</v>
      </c>
      <c r="M39" s="9">
        <f>(K39-L39)/L39</f>
        <v/>
      </c>
      <c r="N39" s="9">
        <f>K39/$K$40</f>
        <v/>
      </c>
      <c r="O39" s="84" t="n">
        <v>5274640</v>
      </c>
      <c r="P39" s="84" t="n">
        <v>8166000</v>
      </c>
      <c r="Q39" s="9">
        <f>(O39-P39)/P39</f>
        <v/>
      </c>
      <c r="R39" s="9">
        <f>O39/$O$40</f>
        <v/>
      </c>
      <c r="S39" s="85" t="n"/>
    </row>
    <row r="40" customFormat="1" s="91">
      <c r="A40" s="78" t="n"/>
      <c r="B40" s="92" t="inlineStr">
        <is>
          <t>소계</t>
        </is>
      </c>
      <c r="C40" s="104">
        <f>SUM(C37:C39)</f>
        <v/>
      </c>
      <c r="D40" s="104">
        <f>SUM(D37:D39)</f>
        <v/>
      </c>
      <c r="E40" s="20">
        <f>(C40-D40)/D40</f>
        <v/>
      </c>
      <c r="F40" s="20">
        <f>C40/$C$52</f>
        <v/>
      </c>
      <c r="G40" s="94">
        <f>SUM(G37:G39)</f>
        <v/>
      </c>
      <c r="H40" s="94">
        <f>SUM(H37:H39)</f>
        <v/>
      </c>
      <c r="I40" s="20">
        <f>(G40-H40)/H40</f>
        <v/>
      </c>
      <c r="J40" s="20">
        <f>G40/$G$52</f>
        <v/>
      </c>
      <c r="K40" s="104">
        <f>SUM(K37:K39)</f>
        <v/>
      </c>
      <c r="L40" s="104">
        <f>SUM(L37:L39)</f>
        <v/>
      </c>
      <c r="M40" s="20">
        <f>(K40-L40)/L40</f>
        <v/>
      </c>
      <c r="N40" s="20">
        <f>K40/$K$52</f>
        <v/>
      </c>
      <c r="O40" s="94">
        <f>SUM(O37:O39)</f>
        <v/>
      </c>
      <c r="P40" s="94">
        <f>SUM(P37:P39)</f>
        <v/>
      </c>
      <c r="Q40" s="20">
        <f>(O40-P40)/P40</f>
        <v/>
      </c>
      <c r="R40" s="20">
        <f>O40/$O$52</f>
        <v/>
      </c>
      <c r="S40" s="95" t="n"/>
      <c r="T40" s="65" t="n"/>
      <c r="U40" s="65" t="n"/>
      <c r="V40" s="65" t="n"/>
      <c r="W40" s="65" t="n"/>
      <c r="X40" s="65" t="n"/>
      <c r="Y40" s="65" t="n"/>
      <c r="Z40" s="65" t="n"/>
      <c r="AA40" s="65" t="n"/>
      <c r="AB40" s="65" t="n"/>
      <c r="AC40" s="65" t="n"/>
      <c r="AD40" s="65" t="n"/>
      <c r="AE40" s="65" t="n"/>
      <c r="AF40" s="65" t="n"/>
      <c r="AG40" s="65" t="n"/>
      <c r="AH40" s="65" t="n"/>
      <c r="AI40" s="65" t="n"/>
      <c r="AJ40" s="65" t="n"/>
      <c r="AK40" s="65" t="n"/>
      <c r="AL40" s="65" t="n"/>
      <c r="AM40" s="65" t="n"/>
      <c r="AN40" s="65" t="n"/>
      <c r="AO40" s="65" t="n"/>
      <c r="AP40" s="65" t="n"/>
      <c r="AQ40" s="65" t="n"/>
      <c r="AR40" s="65" t="n"/>
      <c r="AS40" s="65" t="n"/>
      <c r="AT40" s="65" t="n"/>
      <c r="AU40" s="65" t="n"/>
      <c r="AV40" s="65" t="n"/>
      <c r="AW40" s="65" t="n"/>
      <c r="AX40" s="65" t="n"/>
      <c r="AY40" s="65" t="n"/>
      <c r="AZ40" s="65" t="n"/>
      <c r="BA40" s="65" t="n"/>
      <c r="BB40" s="65" t="n"/>
      <c r="BC40" s="65" t="n"/>
      <c r="BD40" s="65" t="n"/>
      <c r="BE40" s="65" t="n"/>
      <c r="BF40" s="65" t="n"/>
      <c r="BG40" s="65" t="n"/>
      <c r="BH40" s="65" t="n"/>
      <c r="BI40" s="65" t="n"/>
      <c r="BJ40" s="65" t="n"/>
      <c r="BK40" s="65" t="n"/>
      <c r="BL40" s="65" t="n"/>
      <c r="BM40" s="65" t="n"/>
    </row>
    <row r="41" ht="13.5" customHeight="1" s="56">
      <c r="A41" s="79" t="inlineStr">
        <is>
          <t>밀리맘</t>
        </is>
      </c>
      <c r="B41" s="80" t="inlineStr">
        <is>
          <t>오일앤크림</t>
        </is>
      </c>
      <c r="C41" s="103" t="n">
        <v>1285</v>
      </c>
      <c r="D41" s="103" t="n">
        <v>1866</v>
      </c>
      <c r="E41" s="8">
        <f>(C41-D41)/D41</f>
        <v/>
      </c>
      <c r="F41" s="8">
        <f>C41/$C$46</f>
        <v/>
      </c>
      <c r="G41" s="90" t="n">
        <v>14114000</v>
      </c>
      <c r="H41" s="90" t="n">
        <v>17348600</v>
      </c>
      <c r="I41" s="8">
        <f>(G41-H41)/H41</f>
        <v/>
      </c>
      <c r="J41" s="8">
        <f>G41/$G$46</f>
        <v/>
      </c>
      <c r="K41" s="101" t="n">
        <v>1434</v>
      </c>
      <c r="L41" s="101" t="n">
        <v>2024</v>
      </c>
      <c r="M41" s="9">
        <f>(K41-L41)/L41</f>
        <v/>
      </c>
      <c r="N41" s="9">
        <f>K41/$K$46</f>
        <v/>
      </c>
      <c r="O41" s="84" t="n">
        <v>38320746</v>
      </c>
      <c r="P41" s="84" t="n">
        <v>30675400</v>
      </c>
      <c r="Q41" s="9">
        <f>(O41-P41)/P41</f>
        <v/>
      </c>
      <c r="R41" s="9">
        <f>O41/$O$46</f>
        <v/>
      </c>
      <c r="S41" s="85" t="inlineStr">
        <is>
          <t>겨울 시즌 종류로 판매 부진</t>
        </is>
      </c>
    </row>
    <row r="42">
      <c r="A42" s="86" t="n"/>
      <c r="B42" s="80" t="inlineStr">
        <is>
          <t>아토크림</t>
        </is>
      </c>
      <c r="C42" s="103" t="n">
        <v>590</v>
      </c>
      <c r="D42" s="103" t="n"/>
      <c r="E42" s="8" t="n"/>
      <c r="F42" s="8">
        <f>C42/$C$46</f>
        <v/>
      </c>
      <c r="G42" s="90" t="n">
        <v>8152200</v>
      </c>
      <c r="H42" s="90" t="n"/>
      <c r="I42" s="8" t="n"/>
      <c r="J42" s="8">
        <f>G42/$G$46</f>
        <v/>
      </c>
      <c r="K42" s="101" t="n">
        <v>953</v>
      </c>
      <c r="L42" s="101" t="n"/>
      <c r="M42" s="9" t="n"/>
      <c r="N42" s="9">
        <f>K42/$K$46</f>
        <v/>
      </c>
      <c r="O42" s="84" t="n">
        <v>24299800</v>
      </c>
      <c r="P42" s="84" t="n"/>
      <c r="Q42" s="9" t="n"/>
      <c r="R42" s="9">
        <f>O42/$O$46</f>
        <v/>
      </c>
      <c r="S42" s="85" t="n"/>
    </row>
    <row r="43">
      <c r="A43" s="86" t="n"/>
      <c r="B43" s="80" t="inlineStr">
        <is>
          <t>새싹 로션</t>
        </is>
      </c>
      <c r="C43" s="103" t="n">
        <v>2862</v>
      </c>
      <c r="D43" s="103" t="n">
        <v>1088</v>
      </c>
      <c r="E43" s="8">
        <f>(C43-D43)/D43</f>
        <v/>
      </c>
      <c r="F43" s="8">
        <f>C43/$C$46</f>
        <v/>
      </c>
      <c r="G43" s="90" t="n">
        <v>32895800</v>
      </c>
      <c r="H43" s="90" t="n">
        <v>17120800</v>
      </c>
      <c r="I43" s="8">
        <f>(G43-H43)/H43</f>
        <v/>
      </c>
      <c r="J43" s="8">
        <f>G43/$G$46</f>
        <v/>
      </c>
      <c r="K43" s="101" t="n">
        <v>3658</v>
      </c>
      <c r="L43" s="101" t="n">
        <v>541</v>
      </c>
      <c r="M43" s="9">
        <f>(K43-L43)/L43</f>
        <v/>
      </c>
      <c r="N43" s="9">
        <f>K43/$K$46</f>
        <v/>
      </c>
      <c r="O43" s="84" t="n">
        <v>69099200</v>
      </c>
      <c r="P43" s="84" t="n">
        <v>22616200</v>
      </c>
      <c r="Q43" s="9">
        <f>(O43-P43)/P43</f>
        <v/>
      </c>
      <c r="R43" s="9">
        <f>O43/$O$46</f>
        <v/>
      </c>
      <c r="S43" s="85" t="inlineStr">
        <is>
          <t>네고 공구로 판매 급등</t>
        </is>
      </c>
    </row>
    <row r="44">
      <c r="A44" s="86" t="n"/>
      <c r="B44" s="80" t="inlineStr">
        <is>
          <t>새싹 워시</t>
        </is>
      </c>
      <c r="C44" s="103" t="n">
        <v>1120</v>
      </c>
      <c r="D44" s="103" t="n">
        <v>792</v>
      </c>
      <c r="E44" s="8">
        <f>(C44-D44)/D44</f>
        <v/>
      </c>
      <c r="F44" s="8">
        <f>C44/$C$46</f>
        <v/>
      </c>
      <c r="G44" s="90" t="n">
        <v>21740800</v>
      </c>
      <c r="H44" s="90" t="n">
        <v>5193850</v>
      </c>
      <c r="I44" s="8">
        <f>(G44-H44)/H44</f>
        <v/>
      </c>
      <c r="J44" s="8">
        <f>G44/$G$46</f>
        <v/>
      </c>
      <c r="K44" s="101" t="n">
        <v>1026</v>
      </c>
      <c r="L44" s="101" t="n">
        <v>611</v>
      </c>
      <c r="M44" s="9">
        <f>(K44-L44)/L44</f>
        <v/>
      </c>
      <c r="N44" s="9">
        <f>K44/$K$46</f>
        <v/>
      </c>
      <c r="O44" s="84" t="n">
        <v>29375600</v>
      </c>
      <c r="P44" s="84" t="n">
        <v>6841550</v>
      </c>
      <c r="Q44" s="9">
        <f>(O44-P44)/P44</f>
        <v/>
      </c>
      <c r="R44" s="9">
        <f>O44/$O$46</f>
        <v/>
      </c>
      <c r="S44" s="85" t="inlineStr">
        <is>
          <t>네고 공구로 판매 급등</t>
        </is>
      </c>
    </row>
    <row r="45">
      <c r="A45" s="86" t="n"/>
      <c r="B45" s="80" t="inlineStr">
        <is>
          <t>기타(젤, 힙, 미니, 세트)</t>
        </is>
      </c>
      <c r="C45" s="103" t="n">
        <v>2146</v>
      </c>
      <c r="D45" s="103" t="n">
        <v>624</v>
      </c>
      <c r="E45" s="8">
        <f>(C45-D45)/D45</f>
        <v/>
      </c>
      <c r="F45" s="8">
        <f>C45/$C$46</f>
        <v/>
      </c>
      <c r="G45" s="90" t="n">
        <v>16970950</v>
      </c>
      <c r="H45" s="90" t="n">
        <v>18991300</v>
      </c>
      <c r="I45" s="8">
        <f>(G45-H45)/H45</f>
        <v/>
      </c>
      <c r="J45" s="8">
        <f>G45/$G$46</f>
        <v/>
      </c>
      <c r="K45" s="101" t="n">
        <v>975</v>
      </c>
      <c r="L45" s="101" t="n">
        <v>558</v>
      </c>
      <c r="M45" s="9">
        <f>(K45-L45)/L45</f>
        <v/>
      </c>
      <c r="N45" s="9">
        <f>K45/$K$46</f>
        <v/>
      </c>
      <c r="O45" s="84" t="n">
        <v>54303200</v>
      </c>
      <c r="P45" s="84" t="n">
        <v>25283331</v>
      </c>
      <c r="Q45" s="9">
        <f>(O45-P45)/P45</f>
        <v/>
      </c>
      <c r="R45" s="9">
        <f>O45/$O$46</f>
        <v/>
      </c>
      <c r="S45" s="85" t="n"/>
    </row>
    <row r="46" customFormat="1" s="91">
      <c r="A46" s="78" t="n"/>
      <c r="B46" s="92" t="inlineStr">
        <is>
          <t>소계</t>
        </is>
      </c>
      <c r="C46" s="104">
        <f>SUM(C41:C45)</f>
        <v/>
      </c>
      <c r="D46" s="104">
        <f>SUM(D41:D45)</f>
        <v/>
      </c>
      <c r="E46" s="20">
        <f>(C46-D46)/D46</f>
        <v/>
      </c>
      <c r="F46" s="20">
        <f>C46/$C$52</f>
        <v/>
      </c>
      <c r="G46" s="94">
        <f>SUM(G41:G45)</f>
        <v/>
      </c>
      <c r="H46" s="94">
        <f>SUM(H41:H45)</f>
        <v/>
      </c>
      <c r="I46" s="20">
        <f>(G46-H46)/H46</f>
        <v/>
      </c>
      <c r="J46" s="20">
        <f>G46/$G$52</f>
        <v/>
      </c>
      <c r="K46" s="104">
        <f>SUM(K41:K45)</f>
        <v/>
      </c>
      <c r="L46" s="104">
        <f>SUM(L41:L45)</f>
        <v/>
      </c>
      <c r="M46" s="20">
        <f>(K46-L46)/L46</f>
        <v/>
      </c>
      <c r="N46" s="20">
        <f>K46/$K$52</f>
        <v/>
      </c>
      <c r="O46" s="94">
        <f>SUM(O41:O45)</f>
        <v/>
      </c>
      <c r="P46" s="94">
        <f>SUM(P41:P45)</f>
        <v/>
      </c>
      <c r="Q46" s="20">
        <f>(O46-P46)/P46</f>
        <v/>
      </c>
      <c r="R46" s="20">
        <f>O46/$O$52</f>
        <v/>
      </c>
      <c r="S46" s="95" t="n"/>
      <c r="T46" s="65" t="n"/>
      <c r="U46" s="65" t="n"/>
      <c r="V46" s="65" t="n"/>
      <c r="W46" s="65" t="n"/>
      <c r="X46" s="65" t="n"/>
      <c r="Y46" s="65" t="n"/>
      <c r="Z46" s="65" t="n"/>
      <c r="AA46" s="65" t="n"/>
      <c r="AB46" s="65" t="n"/>
      <c r="AC46" s="65" t="n"/>
      <c r="AD46" s="65" t="n"/>
      <c r="AE46" s="65" t="n"/>
      <c r="AF46" s="65" t="n"/>
      <c r="AG46" s="65" t="n"/>
      <c r="AH46" s="65" t="n"/>
      <c r="AI46" s="65" t="n"/>
      <c r="AJ46" s="65" t="n"/>
      <c r="AK46" s="65" t="n"/>
      <c r="AL46" s="65" t="n"/>
      <c r="AM46" s="65" t="n"/>
      <c r="AN46" s="65" t="n"/>
      <c r="AO46" s="65" t="n"/>
      <c r="AP46" s="65" t="n"/>
      <c r="AQ46" s="65" t="n"/>
      <c r="AR46" s="65" t="n"/>
      <c r="AS46" s="65" t="n"/>
      <c r="AT46" s="65" t="n"/>
      <c r="AU46" s="65" t="n"/>
      <c r="AV46" s="65" t="n"/>
      <c r="AW46" s="65" t="n"/>
      <c r="AX46" s="65" t="n"/>
      <c r="AY46" s="65" t="n"/>
      <c r="AZ46" s="65" t="n"/>
      <c r="BA46" s="65" t="n"/>
      <c r="BB46" s="65" t="n"/>
      <c r="BC46" s="65" t="n"/>
      <c r="BD46" s="65" t="n"/>
      <c r="BE46" s="65" t="n"/>
      <c r="BF46" s="65" t="n"/>
      <c r="BG46" s="65" t="n"/>
      <c r="BH46" s="65" t="n"/>
      <c r="BI46" s="65" t="n"/>
      <c r="BJ46" s="65" t="n"/>
      <c r="BK46" s="65" t="n"/>
      <c r="BL46" s="65" t="n"/>
      <c r="BM46" s="65" t="n"/>
    </row>
    <row r="47" ht="13.5" customHeight="1" s="56">
      <c r="A47" s="79" t="inlineStr">
        <is>
          <t>기 타</t>
        </is>
      </c>
      <c r="B47" s="85" t="inlineStr">
        <is>
          <t>할인</t>
        </is>
      </c>
      <c r="C47" s="103" t="n">
        <v>-212</v>
      </c>
      <c r="D47" s="103" t="n">
        <v>-149</v>
      </c>
      <c r="E47" s="8">
        <f>(C47-D47)/D47</f>
        <v/>
      </c>
      <c r="F47" s="8">
        <f>C47/$C$51</f>
        <v/>
      </c>
      <c r="G47" s="90" t="n">
        <v>-202618165</v>
      </c>
      <c r="H47" s="90" t="n">
        <v>-112059052</v>
      </c>
      <c r="I47" s="8">
        <f>(G47-H47)/H47</f>
        <v/>
      </c>
      <c r="J47" s="8">
        <f>G47/$G$51</f>
        <v/>
      </c>
      <c r="K47" s="101" t="n">
        <v>-574</v>
      </c>
      <c r="L47" s="101" t="n">
        <v>-369</v>
      </c>
      <c r="M47" s="9">
        <f>(K47-L47)/L47</f>
        <v/>
      </c>
      <c r="N47" s="9">
        <f>K47/$K$51</f>
        <v/>
      </c>
      <c r="O47" s="84" t="n">
        <v>-811485199</v>
      </c>
      <c r="P47" s="84" t="n">
        <v>-357020166</v>
      </c>
      <c r="Q47" s="9">
        <f>(O47-P47)/P47</f>
        <v/>
      </c>
      <c r="R47" s="9">
        <f>O47/$O$51</f>
        <v/>
      </c>
      <c r="S47" s="85" t="n"/>
    </row>
    <row r="48">
      <c r="A48" s="86" t="n"/>
      <c r="B48" s="85" t="inlineStr">
        <is>
          <t>뷰티툴(BT)</t>
        </is>
      </c>
      <c r="C48" s="103" t="n">
        <v>2451</v>
      </c>
      <c r="D48" s="103" t="n">
        <v>913</v>
      </c>
      <c r="E48" s="8">
        <f>(C48-D48)/D48</f>
        <v/>
      </c>
      <c r="F48" s="8">
        <f>C48/$C$51</f>
        <v/>
      </c>
      <c r="G48" s="90" t="n">
        <v>2382100</v>
      </c>
      <c r="H48" s="90" t="n">
        <v>2897800</v>
      </c>
      <c r="I48" s="8">
        <f>(G48-H48)/H48</f>
        <v/>
      </c>
      <c r="J48" s="8">
        <f>G48/$G$51</f>
        <v/>
      </c>
      <c r="K48" s="101" t="n">
        <v>2364</v>
      </c>
      <c r="L48" s="101" t="n">
        <v>1510</v>
      </c>
      <c r="M48" s="9">
        <f>(K48-L48)/L48</f>
        <v/>
      </c>
      <c r="N48" s="9">
        <f>K48/$K$51</f>
        <v/>
      </c>
      <c r="O48" s="84" t="n">
        <v>6840100</v>
      </c>
      <c r="P48" s="84" t="n">
        <v>10031200</v>
      </c>
      <c r="Q48" s="9">
        <f>(O48-P48)/P48</f>
        <v/>
      </c>
      <c r="R48" s="9">
        <f>O48/$O$51</f>
        <v/>
      </c>
      <c r="S48" s="85" t="n"/>
    </row>
    <row r="49">
      <c r="A49" s="86" t="n"/>
      <c r="B49" s="85" t="inlineStr">
        <is>
          <t>파트너스(교육)</t>
        </is>
      </c>
      <c r="C49" s="103" t="n"/>
      <c r="D49" s="103" t="n"/>
      <c r="E49" s="8" t="n"/>
      <c r="F49" s="8">
        <f>C49/$C$51</f>
        <v/>
      </c>
      <c r="G49" s="90" t="n"/>
      <c r="H49" s="90" t="n"/>
      <c r="I49" s="8" t="n"/>
      <c r="J49" s="8">
        <f>G49/$G$51</f>
        <v/>
      </c>
      <c r="K49" s="101" t="n"/>
      <c r="L49" s="101" t="n"/>
      <c r="M49" s="9" t="n"/>
      <c r="N49" s="9">
        <f>K49/$K$51</f>
        <v/>
      </c>
      <c r="O49" s="84" t="n"/>
      <c r="P49" s="84" t="n"/>
      <c r="Q49" s="9" t="n"/>
      <c r="R49" s="9">
        <f>O49/$O$51</f>
        <v/>
      </c>
      <c r="S49" s="85" t="inlineStr">
        <is>
          <t>확인 불가</t>
        </is>
      </c>
    </row>
    <row r="50">
      <c r="A50" s="86" t="n"/>
      <c r="B50" s="85" t="inlineStr">
        <is>
          <t>기타(택배비, 리플렛, 단종)</t>
        </is>
      </c>
      <c r="C50" s="103" t="n">
        <v>3964</v>
      </c>
      <c r="D50" s="103" t="n">
        <v>6830</v>
      </c>
      <c r="E50" s="8">
        <f>(C50-D50)/D50</f>
        <v/>
      </c>
      <c r="F50" s="8">
        <f>C50/$C$51</f>
        <v/>
      </c>
      <c r="G50" s="90" t="n">
        <v>80704750</v>
      </c>
      <c r="H50" s="90" t="n">
        <v>21904000</v>
      </c>
      <c r="I50" s="8">
        <f>(G50-H50)/H50</f>
        <v/>
      </c>
      <c r="J50" s="8">
        <f>G50/$G$51</f>
        <v/>
      </c>
      <c r="K50" s="101" t="n">
        <v>55847</v>
      </c>
      <c r="L50" s="101" t="n">
        <v>13787</v>
      </c>
      <c r="M50" s="9">
        <f>(K50-L50)/L50</f>
        <v/>
      </c>
      <c r="N50" s="9">
        <f>K50/$K$51</f>
        <v/>
      </c>
      <c r="O50" s="84" t="n">
        <v>134318390</v>
      </c>
      <c r="P50" s="84" t="n">
        <v>26909090</v>
      </c>
      <c r="Q50" s="9">
        <f>(O50-P50)/P50</f>
        <v/>
      </c>
      <c r="R50" s="9">
        <f>O50/$O$51</f>
        <v/>
      </c>
      <c r="S50" s="85" t="inlineStr">
        <is>
          <t>이카운트 총금액 - 판매현황 합계</t>
        </is>
      </c>
    </row>
    <row r="51" customFormat="1" s="91">
      <c r="A51" s="78" t="n"/>
      <c r="B51" s="92" t="inlineStr">
        <is>
          <t>소계</t>
        </is>
      </c>
      <c r="C51" s="104">
        <f>SUM(C47:C50)</f>
        <v/>
      </c>
      <c r="D51" s="104">
        <f>SUM(D47:D50)</f>
        <v/>
      </c>
      <c r="E51" s="20">
        <f>(C51-D51)/D51</f>
        <v/>
      </c>
      <c r="F51" s="20">
        <f>C51/$C$52</f>
        <v/>
      </c>
      <c r="G51" s="94">
        <f>SUM(G47:G50)</f>
        <v/>
      </c>
      <c r="H51" s="94">
        <f>SUM(H47:H50)</f>
        <v/>
      </c>
      <c r="I51" s="20">
        <f>(G51-H51)/H51</f>
        <v/>
      </c>
      <c r="J51" s="20">
        <f>G51/$G$52</f>
        <v/>
      </c>
      <c r="K51" s="106">
        <f>SUM(K47:K50)</f>
        <v/>
      </c>
      <c r="L51" s="106">
        <f>SUM(L47:L50)</f>
        <v/>
      </c>
      <c r="M51" s="20">
        <f>(K51-L51)/L51</f>
        <v/>
      </c>
      <c r="N51" s="20">
        <f>K51/$K$52</f>
        <v/>
      </c>
      <c r="O51" s="94">
        <f>SUM(O47:O50)</f>
        <v/>
      </c>
      <c r="P51" s="94">
        <f>SUM(P47:P50)</f>
        <v/>
      </c>
      <c r="Q51" s="20">
        <f>(O51-P51)/P51</f>
        <v/>
      </c>
      <c r="R51" s="20">
        <f>O51/$O$52</f>
        <v/>
      </c>
      <c r="S51" s="95" t="n"/>
      <c r="T51" s="65" t="n"/>
      <c r="U51" s="65" t="n"/>
      <c r="V51" s="65" t="n"/>
      <c r="W51" s="65" t="n"/>
      <c r="X51" s="65" t="n"/>
      <c r="Y51" s="65" t="n"/>
      <c r="Z51" s="65" t="n"/>
      <c r="AA51" s="65" t="n"/>
      <c r="AB51" s="65" t="n"/>
      <c r="AC51" s="65" t="n"/>
      <c r="AD51" s="65" t="n"/>
      <c r="AE51" s="65" t="n"/>
      <c r="AF51" s="65" t="n"/>
      <c r="AG51" s="65" t="n"/>
      <c r="AH51" s="65" t="n"/>
      <c r="AI51" s="65" t="n"/>
      <c r="AJ51" s="65" t="n"/>
      <c r="AK51" s="65" t="n"/>
      <c r="AL51" s="65" t="n"/>
      <c r="AM51" s="65" t="n"/>
      <c r="AN51" s="65" t="n"/>
      <c r="AO51" s="65" t="n"/>
      <c r="AP51" s="65" t="n"/>
      <c r="AQ51" s="65" t="n"/>
      <c r="AR51" s="65" t="n"/>
      <c r="AS51" s="65" t="n"/>
      <c r="AT51" s="65" t="n"/>
      <c r="AU51" s="65" t="n"/>
      <c r="AV51" s="65" t="n"/>
      <c r="AW51" s="65" t="n"/>
      <c r="AX51" s="65" t="n"/>
      <c r="AY51" s="65" t="n"/>
      <c r="AZ51" s="65" t="n"/>
      <c r="BA51" s="65" t="n"/>
      <c r="BB51" s="65" t="n"/>
      <c r="BC51" s="65" t="n"/>
      <c r="BD51" s="65" t="n"/>
      <c r="BE51" s="65" t="n"/>
      <c r="BF51" s="65" t="n"/>
      <c r="BG51" s="65" t="n"/>
      <c r="BH51" s="65" t="n"/>
      <c r="BI51" s="65" t="n"/>
      <c r="BJ51" s="65" t="n"/>
      <c r="BK51" s="65" t="n"/>
      <c r="BL51" s="65" t="n"/>
      <c r="BM51" s="65" t="n"/>
    </row>
    <row r="52" customFormat="1" s="91">
      <c r="A52" s="92" t="inlineStr">
        <is>
          <t>합계</t>
        </is>
      </c>
      <c r="B52" s="70" t="n"/>
      <c r="C52" s="104">
        <f>C51+C46+C40+C36+C31+C23</f>
        <v/>
      </c>
      <c r="D52" s="104">
        <f>D51+D46+D40+D36+D31+D23</f>
        <v/>
      </c>
      <c r="E52" s="20">
        <f>(C52-D52)/D52</f>
        <v/>
      </c>
      <c r="F52" s="20">
        <f>F51+F46+F40+F36+F31+F23</f>
        <v/>
      </c>
      <c r="G52" s="94">
        <f>G51+G46+G40+G36+G31+G23</f>
        <v/>
      </c>
      <c r="H52" s="94">
        <f>H51+H46+H40+H36+H31+H23</f>
        <v/>
      </c>
      <c r="I52" s="20">
        <f>(G52-H52)/H52</f>
        <v/>
      </c>
      <c r="J52" s="20">
        <f>J51+J46+J40+J36+J31+J23</f>
        <v/>
      </c>
      <c r="K52" s="104">
        <f>K51+K46+K40+K36+K31+K23</f>
        <v/>
      </c>
      <c r="L52" s="104">
        <f>L51+L46+L40+L36+L31+L23</f>
        <v/>
      </c>
      <c r="M52" s="20">
        <f>(K52-L52)/L52</f>
        <v/>
      </c>
      <c r="N52" s="20">
        <f>N51+N46+N40+N36+N31+N23</f>
        <v/>
      </c>
      <c r="O52" s="94">
        <f>O51+O46+O40+O36+O31+O23</f>
        <v/>
      </c>
      <c r="P52" s="94">
        <f>P51+P46+P40+P36+P31+P23</f>
        <v/>
      </c>
      <c r="Q52" s="20">
        <f>(O52-P52)/P52</f>
        <v/>
      </c>
      <c r="R52" s="20">
        <f>R51+R46+R40+R36+R31+R23</f>
        <v/>
      </c>
      <c r="S52" s="95" t="n"/>
      <c r="T52" s="65" t="n"/>
      <c r="U52" s="65" t="n"/>
      <c r="V52" s="65" t="n"/>
      <c r="W52" s="65" t="n"/>
      <c r="X52" s="65" t="n"/>
      <c r="Y52" s="65" t="n"/>
      <c r="Z52" s="65" t="n"/>
      <c r="AA52" s="65" t="n"/>
      <c r="AB52" s="65" t="n"/>
      <c r="AC52" s="65" t="n"/>
      <c r="AD52" s="65" t="n"/>
      <c r="AE52" s="65" t="n"/>
      <c r="AF52" s="65" t="n"/>
      <c r="AG52" s="65" t="n"/>
      <c r="AH52" s="65" t="n"/>
      <c r="AI52" s="65" t="n"/>
      <c r="AJ52" s="65" t="n"/>
      <c r="AK52" s="65" t="n"/>
      <c r="AL52" s="65" t="n"/>
      <c r="AM52" s="65" t="n"/>
      <c r="AN52" s="65" t="n"/>
      <c r="AO52" s="65" t="n"/>
      <c r="AP52" s="65" t="n"/>
      <c r="AQ52" s="65" t="n"/>
      <c r="AR52" s="65" t="n"/>
      <c r="AS52" s="65" t="n"/>
      <c r="AT52" s="65" t="n"/>
      <c r="AU52" s="65" t="n"/>
      <c r="AV52" s="65" t="n"/>
      <c r="AW52" s="65" t="n"/>
      <c r="AX52" s="65" t="n"/>
      <c r="AY52" s="65" t="n"/>
      <c r="AZ52" s="65" t="n"/>
      <c r="BA52" s="65" t="n"/>
      <c r="BB52" s="65" t="n"/>
      <c r="BC52" s="65" t="n"/>
      <c r="BD52" s="65" t="n"/>
      <c r="BE52" s="65" t="n"/>
      <c r="BF52" s="65" t="n"/>
      <c r="BG52" s="65" t="n"/>
      <c r="BH52" s="65" t="n"/>
      <c r="BI52" s="65" t="n"/>
      <c r="BJ52" s="65" t="n"/>
      <c r="BK52" s="65" t="n"/>
      <c r="BL52" s="65" t="n"/>
      <c r="BM52" s="65" t="n"/>
    </row>
    <row r="53">
      <c r="A53" s="85" t="n"/>
      <c r="B53" s="85" t="inlineStr">
        <is>
          <t>이카운트 총 금액</t>
        </is>
      </c>
      <c r="C53" s="103" t="n">
        <v>73386</v>
      </c>
      <c r="D53" s="100" t="n">
        <v>46661</v>
      </c>
      <c r="E53" s="8" t="n"/>
      <c r="F53" s="8" t="n"/>
      <c r="G53" s="82" t="n">
        <v>842455285</v>
      </c>
      <c r="H53" s="82" t="n">
        <v>525812048</v>
      </c>
      <c r="I53" s="8" t="n"/>
      <c r="J53" s="8" t="n"/>
      <c r="K53" s="102" t="n">
        <v>196554</v>
      </c>
      <c r="L53" s="102" t="n">
        <v>129797</v>
      </c>
      <c r="M53" s="9" t="n"/>
      <c r="N53" s="9" t="n"/>
      <c r="O53" s="88" t="n">
        <v>2641916307</v>
      </c>
      <c r="P53" s="88" t="n">
        <v>1913113655</v>
      </c>
      <c r="Q53" s="9" t="n"/>
      <c r="R53" s="9" t="n"/>
      <c r="S53" s="85" t="inlineStr">
        <is>
          <t>3/31 기준</t>
        </is>
      </c>
    </row>
  </sheetData>
  <mergeCells count="12">
    <mergeCell ref="A4:A23"/>
    <mergeCell ref="A52:B52"/>
    <mergeCell ref="A2:B3"/>
    <mergeCell ref="C2:J2"/>
    <mergeCell ref="K2:R2"/>
    <mergeCell ref="A24:A31"/>
    <mergeCell ref="A1:B1"/>
    <mergeCell ref="A37:A40"/>
    <mergeCell ref="A47:A51"/>
    <mergeCell ref="A32:A36"/>
    <mergeCell ref="S2:S3"/>
    <mergeCell ref="A41:A46"/>
  </mergeCells>
  <conditionalFormatting sqref="C3:K53 K47:L51 M3:O53 Q3:R53">
    <cfRule type="cellIs" priority="2" operator="lessThan" dxfId="0">
      <formula>0</formula>
    </cfRule>
  </conditionalFormatting>
  <conditionalFormatting sqref="C1:R2 C55:R1048576">
    <cfRule type="cellIs" priority="3" operator="lessThan" dxfId="0">
      <formula>0</formula>
    </cfRule>
  </conditionalFormatting>
  <conditionalFormatting sqref="L47">
    <cfRule type="cellIs" priority="1" operator="lessThan" dxfId="0">
      <formula>0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57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BM53"/>
  <sheetViews>
    <sheetView zoomScaleNormal="100" workbookViewId="0">
      <pane xSplit="2" ySplit="3" topLeftCell="C24" activePane="bottomRight" state="frozen"/>
      <selection pane="topRight" activeCell="C1" sqref="C1"/>
      <selection pane="bottomLeft" activeCell="A4" sqref="A4"/>
      <selection pane="bottomRight" activeCell="F24" sqref="F24"/>
    </sheetView>
  </sheetViews>
  <sheetFormatPr baseColWidth="8" defaultRowHeight="13.5"/>
  <cols>
    <col width="2.875" bestFit="1" customWidth="1" style="57" min="1" max="1"/>
    <col width="21.875" bestFit="1" customWidth="1" style="57" min="2" max="2"/>
    <col width="8.125" bestFit="1" customWidth="1" style="96" min="3" max="4"/>
    <col width="7.625" bestFit="1" customWidth="1" style="3" min="5" max="5"/>
    <col width="7.125" bestFit="1" customWidth="1" style="3" min="6" max="6"/>
    <col width="4.75" bestFit="1" customWidth="1" style="59" min="7" max="8"/>
    <col width="7.625" bestFit="1" customWidth="1" style="3" min="9" max="9"/>
    <col width="7.125" bestFit="1" customWidth="1" style="3" min="10" max="10"/>
    <col width="8.375" bestFit="1" customWidth="1" style="97" min="11" max="12"/>
    <col width="7.625" bestFit="1" customWidth="1" style="4" min="13" max="13"/>
    <col width="7.125" bestFit="1" customWidth="1" style="4" min="14" max="14"/>
    <col width="5.875" bestFit="1" customWidth="1" style="61" min="15" max="15"/>
    <col width="5.375" bestFit="1" customWidth="1" style="61" min="16" max="16"/>
    <col width="6.375" bestFit="1" customWidth="1" style="4" min="17" max="18"/>
    <col width="28.375" bestFit="1" customWidth="1" style="57" min="19" max="19"/>
    <col width="9" customWidth="1" style="57" min="20" max="16384"/>
  </cols>
  <sheetData>
    <row r="1">
      <c r="A1" s="62" t="inlineStr">
        <is>
          <t>1. 제품별 판매현황</t>
        </is>
      </c>
      <c r="B1" s="63" t="n"/>
      <c r="R1" s="5" t="n"/>
      <c r="S1" s="64" t="inlineStr">
        <is>
          <t>(개,백만원,%)</t>
        </is>
      </c>
    </row>
    <row r="2" ht="24.75" customFormat="1" customHeight="1" s="65">
      <c r="A2" s="66" t="inlineStr">
        <is>
          <t>구분</t>
        </is>
      </c>
      <c r="B2" s="67" t="n"/>
      <c r="C2" s="68" t="inlineStr">
        <is>
          <t>4월 당월</t>
        </is>
      </c>
      <c r="D2" s="69" t="n"/>
      <c r="E2" s="69" t="n"/>
      <c r="F2" s="69" t="n"/>
      <c r="G2" s="69" t="n"/>
      <c r="H2" s="69" t="n"/>
      <c r="I2" s="69" t="n"/>
      <c r="J2" s="70" t="n"/>
      <c r="K2" s="71" t="inlineStr">
        <is>
          <t>4월 누계</t>
        </is>
      </c>
      <c r="L2" s="69" t="n"/>
      <c r="M2" s="69" t="n"/>
      <c r="N2" s="69" t="n"/>
      <c r="O2" s="69" t="n"/>
      <c r="P2" s="69" t="n"/>
      <c r="Q2" s="69" t="n"/>
      <c r="R2" s="70" t="n"/>
      <c r="S2" s="66" t="inlineStr">
        <is>
          <t>비고</t>
        </is>
      </c>
    </row>
    <row r="3" ht="19.5" customFormat="1" customHeight="1" s="65">
      <c r="A3" s="72" t="n"/>
      <c r="B3" s="73" t="n"/>
      <c r="C3" s="98" t="inlineStr">
        <is>
          <t>수량</t>
        </is>
      </c>
      <c r="D3" s="98" t="inlineStr">
        <is>
          <t>전년</t>
        </is>
      </c>
      <c r="E3" s="24" t="inlineStr">
        <is>
          <t>증감</t>
        </is>
      </c>
      <c r="F3" s="24" t="inlineStr">
        <is>
          <t>구성비</t>
        </is>
      </c>
      <c r="G3" s="75" t="inlineStr">
        <is>
          <t>금액</t>
        </is>
      </c>
      <c r="H3" s="75" t="inlineStr">
        <is>
          <t>전년</t>
        </is>
      </c>
      <c r="I3" s="24" t="inlineStr">
        <is>
          <t>YOY</t>
        </is>
      </c>
      <c r="J3" s="24" t="inlineStr">
        <is>
          <t>구성비</t>
        </is>
      </c>
      <c r="K3" s="99" t="inlineStr">
        <is>
          <t>수량</t>
        </is>
      </c>
      <c r="L3" s="99" t="inlineStr">
        <is>
          <t>전년</t>
        </is>
      </c>
      <c r="M3" s="25" t="inlineStr">
        <is>
          <t>YOY</t>
        </is>
      </c>
      <c r="N3" s="25" t="inlineStr">
        <is>
          <t>구성비</t>
        </is>
      </c>
      <c r="O3" s="77" t="inlineStr">
        <is>
          <t>금액</t>
        </is>
      </c>
      <c r="P3" s="77" t="inlineStr">
        <is>
          <t>전년</t>
        </is>
      </c>
      <c r="Q3" s="25" t="inlineStr">
        <is>
          <t>YOY</t>
        </is>
      </c>
      <c r="R3" s="25" t="inlineStr">
        <is>
          <t>구성비</t>
        </is>
      </c>
      <c r="S3" s="78" t="n"/>
    </row>
    <row r="4" ht="16.5" customHeight="1" s="56">
      <c r="A4" s="79" t="inlineStr">
        <is>
          <t>트로이아르케</t>
        </is>
      </c>
      <c r="B4" s="80" t="inlineStr">
        <is>
          <t>트로이필(웨폰키트)</t>
        </is>
      </c>
      <c r="C4" s="100" t="n"/>
      <c r="D4" s="100" t="n"/>
      <c r="E4" s="8">
        <f>(C4-D4)/D4</f>
        <v/>
      </c>
      <c r="F4" s="8">
        <f>C4/$C$23</f>
        <v/>
      </c>
      <c r="G4" s="82" t="n"/>
      <c r="H4" s="82" t="n"/>
      <c r="I4" s="8">
        <f>(G4-H4)/H4</f>
        <v/>
      </c>
      <c r="J4" s="8">
        <f>G4/$G$23</f>
        <v/>
      </c>
      <c r="K4" s="101" t="n"/>
      <c r="L4" s="101" t="n"/>
      <c r="M4" s="9">
        <f>(K4-L4)/L4</f>
        <v/>
      </c>
      <c r="N4" s="9">
        <f>K4/$K$23</f>
        <v/>
      </c>
      <c r="O4" s="84" t="n"/>
      <c r="P4" s="84" t="n"/>
      <c r="Q4" s="9">
        <f>(O4-P4)/P4</f>
        <v/>
      </c>
      <c r="R4" s="9">
        <f>O4/$O$23</f>
        <v/>
      </c>
      <c r="S4" s="85" t="n"/>
    </row>
    <row r="5" ht="16.5" customHeight="1" s="56">
      <c r="A5" s="86" t="n"/>
      <c r="B5" s="80" t="inlineStr">
        <is>
          <t>VVS키트</t>
        </is>
      </c>
      <c r="C5" s="100" t="n"/>
      <c r="D5" s="100" t="n"/>
      <c r="E5" s="8">
        <f>(C5-D5)/D5</f>
        <v/>
      </c>
      <c r="F5" s="8">
        <f>C5/$C$23</f>
        <v/>
      </c>
      <c r="G5" s="82" t="n"/>
      <c r="H5" s="82" t="n"/>
      <c r="I5" s="8">
        <f>(G5-H5)/H5</f>
        <v/>
      </c>
      <c r="J5" s="8">
        <f>G5/$G$23</f>
        <v/>
      </c>
      <c r="K5" s="101" t="n"/>
      <c r="L5" s="102" t="n"/>
      <c r="M5" s="9">
        <f>(K5-L5)/L5</f>
        <v/>
      </c>
      <c r="N5" s="9">
        <f>K5/$K$23</f>
        <v/>
      </c>
      <c r="O5" s="84" t="n"/>
      <c r="P5" s="88" t="n"/>
      <c r="Q5" s="9">
        <f>(O5-P5)/P5</f>
        <v/>
      </c>
      <c r="R5" s="9">
        <f>O5/$O$23</f>
        <v/>
      </c>
      <c r="S5" s="85" t="n"/>
    </row>
    <row r="6" ht="16.5" customHeight="1" s="56">
      <c r="A6" s="86" t="n"/>
      <c r="B6" s="80" t="inlineStr">
        <is>
          <t>힐링칵테일</t>
        </is>
      </c>
      <c r="C6" s="103" t="n"/>
      <c r="D6" s="103" t="n"/>
      <c r="E6" s="8">
        <f>(C6-D6)/D6</f>
        <v/>
      </c>
      <c r="F6" s="8">
        <f>C6/$C$23</f>
        <v/>
      </c>
      <c r="G6" s="90" t="n"/>
      <c r="H6" s="90" t="n"/>
      <c r="I6" s="8">
        <f>(G6-H6)/H6</f>
        <v/>
      </c>
      <c r="J6" s="8">
        <f>G6/$G$23</f>
        <v/>
      </c>
      <c r="K6" s="101" t="n"/>
      <c r="L6" s="101" t="n"/>
      <c r="M6" s="9">
        <f>(K6-L6)/L6</f>
        <v/>
      </c>
      <c r="N6" s="9">
        <f>K6/$K$23</f>
        <v/>
      </c>
      <c r="O6" s="84" t="n"/>
      <c r="P6" s="84" t="n"/>
      <c r="Q6" s="9">
        <f>(O6-P6)/P6</f>
        <v/>
      </c>
      <c r="R6" s="9">
        <f>O6/$O$23</f>
        <v/>
      </c>
      <c r="S6" s="85" t="n"/>
    </row>
    <row r="7" ht="16.5" customHeight="1" s="56">
      <c r="A7" s="86" t="n"/>
      <c r="B7" s="80" t="inlineStr">
        <is>
          <t>악센 리커버리</t>
        </is>
      </c>
      <c r="C7" s="103" t="n"/>
      <c r="D7" s="103" t="n"/>
      <c r="E7" s="8">
        <f>(C7-D7)/D7</f>
        <v/>
      </c>
      <c r="F7" s="8">
        <f>C7/$C$23</f>
        <v/>
      </c>
      <c r="G7" s="90" t="n"/>
      <c r="H7" s="90" t="n"/>
      <c r="I7" s="8">
        <f>(G7-H7)/H7</f>
        <v/>
      </c>
      <c r="J7" s="8">
        <f>G7/$G$23</f>
        <v/>
      </c>
      <c r="K7" s="101" t="n"/>
      <c r="L7" s="101" t="n"/>
      <c r="M7" s="9">
        <f>(K7-L7)/L7</f>
        <v/>
      </c>
      <c r="N7" s="9">
        <f>K7/$K$23</f>
        <v/>
      </c>
      <c r="O7" s="84" t="n"/>
      <c r="P7" s="84" t="n"/>
      <c r="Q7" s="9">
        <f>(O7-P7)/P7</f>
        <v/>
      </c>
      <c r="R7" s="9">
        <f>O7/$O$23</f>
        <v/>
      </c>
      <c r="S7" s="85" t="n"/>
    </row>
    <row r="8" ht="16.5" customHeight="1" s="56">
      <c r="A8" s="86" t="n"/>
      <c r="B8" s="80" t="inlineStr">
        <is>
          <t>악센 오일컷클렌징</t>
        </is>
      </c>
      <c r="C8" s="103" t="n"/>
      <c r="D8" s="103" t="n"/>
      <c r="E8" s="8">
        <f>(C8-D8)/D8</f>
        <v/>
      </c>
      <c r="F8" s="8">
        <f>C8/$C$23</f>
        <v/>
      </c>
      <c r="G8" s="90" t="n"/>
      <c r="H8" s="90" t="n"/>
      <c r="I8" s="8">
        <f>(G8-H8)/H8</f>
        <v/>
      </c>
      <c r="J8" s="8">
        <f>G8/$G$23</f>
        <v/>
      </c>
      <c r="K8" s="101" t="n"/>
      <c r="L8" s="101" t="n"/>
      <c r="M8" s="9">
        <f>(K8-L8)/L8</f>
        <v/>
      </c>
      <c r="N8" s="9">
        <f>K8/$K$23</f>
        <v/>
      </c>
      <c r="O8" s="84" t="n"/>
      <c r="P8" s="84" t="n"/>
      <c r="Q8" s="9">
        <f>(O8-P8)/P8</f>
        <v/>
      </c>
      <c r="R8" s="9">
        <f>O8/$O$23</f>
        <v/>
      </c>
      <c r="S8" s="85" t="n"/>
    </row>
    <row r="9" hidden="1" ht="16.5" customHeight="1" s="56">
      <c r="A9" s="86" t="n"/>
      <c r="B9" s="80" t="inlineStr">
        <is>
          <t>AGT하이드로 크림</t>
        </is>
      </c>
      <c r="C9" s="100" t="n"/>
      <c r="D9" s="100" t="n"/>
      <c r="E9" s="8">
        <f>(C9-D9)/D9</f>
        <v/>
      </c>
      <c r="F9" s="8">
        <f>C9/$C$23</f>
        <v/>
      </c>
      <c r="G9" s="82" t="n"/>
      <c r="H9" s="90" t="n"/>
      <c r="I9" s="8">
        <f>(G9-H9)/H9</f>
        <v/>
      </c>
      <c r="J9" s="8">
        <f>G9/$G$23</f>
        <v/>
      </c>
      <c r="K9" s="102" t="n"/>
      <c r="L9" s="101" t="n"/>
      <c r="M9" s="9">
        <f>(K9-L9)/L9</f>
        <v/>
      </c>
      <c r="N9" s="9">
        <f>K9/$K$23</f>
        <v/>
      </c>
      <c r="O9" s="88" t="n"/>
      <c r="P9" s="84" t="n"/>
      <c r="Q9" s="9">
        <f>(O9-P9)/P9</f>
        <v/>
      </c>
      <c r="R9" s="9">
        <f>O9/$O$23</f>
        <v/>
      </c>
      <c r="S9" s="85" t="n"/>
    </row>
    <row r="10" hidden="1" ht="16.5" customHeight="1" s="56">
      <c r="A10" s="86" t="n"/>
      <c r="B10" s="80" t="inlineStr">
        <is>
          <t>악센 센앰플</t>
        </is>
      </c>
      <c r="C10" s="103" t="n"/>
      <c r="D10" s="103" t="n"/>
      <c r="E10" s="8">
        <f>(C10-D10)/D10</f>
        <v/>
      </c>
      <c r="F10" s="8">
        <f>C10/$C$23</f>
        <v/>
      </c>
      <c r="G10" s="90" t="n"/>
      <c r="H10" s="90" t="n"/>
      <c r="I10" s="8">
        <f>(G10-H10)/H10</f>
        <v/>
      </c>
      <c r="J10" s="8">
        <f>G10/$G$23</f>
        <v/>
      </c>
      <c r="K10" s="101" t="n"/>
      <c r="L10" s="102" t="n"/>
      <c r="M10" s="9">
        <f>(K10-L10)/L10</f>
        <v/>
      </c>
      <c r="N10" s="9">
        <f>K10/$K$23</f>
        <v/>
      </c>
      <c r="O10" s="84" t="n"/>
      <c r="P10" s="88" t="n"/>
      <c r="Q10" s="9">
        <f>(O10-P10)/P10</f>
        <v/>
      </c>
      <c r="R10" s="9">
        <f>O10/$O$23</f>
        <v/>
      </c>
      <c r="S10" s="85" t="n"/>
    </row>
    <row r="11" hidden="1" ht="16.5" customHeight="1" s="56">
      <c r="A11" s="86" t="n"/>
      <c r="B11" s="80" t="inlineStr">
        <is>
          <t>AGT하이드로 에센스</t>
        </is>
      </c>
      <c r="C11" s="103" t="n"/>
      <c r="D11" s="103" t="n"/>
      <c r="E11" s="8">
        <f>(C11-D11)/D11</f>
        <v/>
      </c>
      <c r="F11" s="8">
        <f>C11/$C$23</f>
        <v/>
      </c>
      <c r="G11" s="90" t="n"/>
      <c r="H11" s="90" t="n"/>
      <c r="I11" s="8">
        <f>(G11-H11)/H11</f>
        <v/>
      </c>
      <c r="J11" s="8">
        <f>G11/$G$23</f>
        <v/>
      </c>
      <c r="K11" s="101" t="n"/>
      <c r="L11" s="101" t="n"/>
      <c r="M11" s="9">
        <f>(K11-L11)/L11</f>
        <v/>
      </c>
      <c r="N11" s="9">
        <f>K11/$K$23</f>
        <v/>
      </c>
      <c r="O11" s="84" t="n"/>
      <c r="P11" s="84" t="n"/>
      <c r="Q11" s="9">
        <f>(O11-P11)/P11</f>
        <v/>
      </c>
      <c r="R11" s="9">
        <f>O11/$O$23</f>
        <v/>
      </c>
      <c r="S11" s="85" t="n"/>
    </row>
    <row r="12" hidden="1" ht="16.5" customHeight="1" s="56">
      <c r="A12" s="86" t="n"/>
      <c r="B12" s="80" t="inlineStr">
        <is>
          <t>에너지크림</t>
        </is>
      </c>
      <c r="C12" s="103" t="n"/>
      <c r="D12" s="103" t="n"/>
      <c r="E12" s="8">
        <f>(C12-D12)/D12</f>
        <v/>
      </c>
      <c r="F12" s="8">
        <f>C12/$C$23</f>
        <v/>
      </c>
      <c r="G12" s="90" t="n"/>
      <c r="H12" s="90" t="n"/>
      <c r="I12" s="8">
        <f>(G12-H12)/H12</f>
        <v/>
      </c>
      <c r="J12" s="8">
        <f>G12/$G$23</f>
        <v/>
      </c>
      <c r="K12" s="101" t="n"/>
      <c r="L12" s="101" t="n"/>
      <c r="M12" s="9">
        <f>(K12-L12)/L12</f>
        <v/>
      </c>
      <c r="N12" s="9">
        <f>K12/$K$23</f>
        <v/>
      </c>
      <c r="O12" s="84" t="n"/>
      <c r="P12" s="84" t="n"/>
      <c r="Q12" s="9">
        <f>(O12-P12)/P12</f>
        <v/>
      </c>
      <c r="R12" s="9">
        <f>O12/$O$23</f>
        <v/>
      </c>
      <c r="S12" s="85" t="n"/>
    </row>
    <row r="13" ht="16.5" customHeight="1" s="56">
      <c r="A13" s="86" t="n"/>
      <c r="B13" s="80" t="inlineStr">
        <is>
          <t>쉴드크림</t>
        </is>
      </c>
      <c r="C13" s="103" t="n"/>
      <c r="D13" s="103" t="n"/>
      <c r="E13" s="8">
        <f>(C13-D13)/D13</f>
        <v/>
      </c>
      <c r="F13" s="8">
        <f>C13/$C$23</f>
        <v/>
      </c>
      <c r="G13" s="90" t="n"/>
      <c r="H13" s="90" t="n"/>
      <c r="I13" s="8">
        <f>(G13-H13)/H13</f>
        <v/>
      </c>
      <c r="J13" s="8">
        <f>G13/$G$23</f>
        <v/>
      </c>
      <c r="K13" s="101" t="n"/>
      <c r="L13" s="101" t="n"/>
      <c r="M13" s="9">
        <f>(K13-L13)/L13</f>
        <v/>
      </c>
      <c r="N13" s="9">
        <f>K13/$K$23</f>
        <v/>
      </c>
      <c r="O13" s="84" t="n"/>
      <c r="P13" s="84" t="n"/>
      <c r="Q13" s="9">
        <f>(O13-P13)/P13</f>
        <v/>
      </c>
      <c r="R13" s="9">
        <f>O13/$O$23</f>
        <v/>
      </c>
      <c r="S13" s="85" t="n"/>
    </row>
    <row r="14" hidden="1" ht="16.5" customHeight="1" s="56">
      <c r="A14" s="86" t="n"/>
      <c r="B14" s="80" t="inlineStr">
        <is>
          <t>아이크림</t>
        </is>
      </c>
      <c r="C14" s="103" t="n"/>
      <c r="D14" s="103" t="n"/>
      <c r="E14" s="8">
        <f>(C14-D14)/D14</f>
        <v/>
      </c>
      <c r="F14" s="8">
        <f>C14/$C$23</f>
        <v/>
      </c>
      <c r="G14" s="90" t="n"/>
      <c r="H14" s="90" t="n"/>
      <c r="I14" s="8">
        <f>(G14-H14)/H14</f>
        <v/>
      </c>
      <c r="J14" s="8">
        <f>G14/$G$23</f>
        <v/>
      </c>
      <c r="K14" s="101" t="n"/>
      <c r="L14" s="101" t="n"/>
      <c r="M14" s="9">
        <f>(K14-L14)/L14</f>
        <v/>
      </c>
      <c r="N14" s="9">
        <f>K14/$K$23</f>
        <v/>
      </c>
      <c r="O14" s="84" t="n"/>
      <c r="P14" s="84" t="n"/>
      <c r="Q14" s="9">
        <f>(O14-P14)/P14</f>
        <v/>
      </c>
      <c r="R14" s="9">
        <f>O14/$O$23</f>
        <v/>
      </c>
      <c r="S14" s="85" t="n"/>
    </row>
    <row r="15" ht="16.5" customHeight="1" s="56">
      <c r="A15" s="86" t="n"/>
      <c r="B15" s="80" t="inlineStr">
        <is>
          <t>악센 AC스팟솔루션</t>
        </is>
      </c>
      <c r="C15" s="103" t="n"/>
      <c r="D15" s="103" t="n"/>
      <c r="E15" s="8">
        <f>(C15-D15)/D15</f>
        <v/>
      </c>
      <c r="F15" s="8">
        <f>C15/$C$23</f>
        <v/>
      </c>
      <c r="G15" s="90" t="n"/>
      <c r="H15" s="90" t="n"/>
      <c r="I15" s="8">
        <f>(G15-H15)/H15</f>
        <v/>
      </c>
      <c r="J15" s="8">
        <f>G15/$G$23</f>
        <v/>
      </c>
      <c r="K15" s="101" t="n"/>
      <c r="L15" s="101" t="n"/>
      <c r="M15" s="9">
        <f>(K15-L15)/L15</f>
        <v/>
      </c>
      <c r="N15" s="9">
        <f>K15/$K$23</f>
        <v/>
      </c>
      <c r="O15" s="84" t="n"/>
      <c r="P15" s="84" t="n"/>
      <c r="Q15" s="9">
        <f>(O15-P15)/P15</f>
        <v/>
      </c>
      <c r="R15" s="9">
        <f>O15/$O$23</f>
        <v/>
      </c>
      <c r="S15" s="85" t="n"/>
    </row>
    <row r="16" ht="16.5" customHeight="1" s="56">
      <c r="A16" s="86" t="n"/>
      <c r="B16" s="80" t="inlineStr">
        <is>
          <t>악센 UV 프로텍터에센스</t>
        </is>
      </c>
      <c r="C16" s="103" t="n"/>
      <c r="D16" s="103" t="n"/>
      <c r="E16" s="8">
        <f>(C16-D16)/D16</f>
        <v/>
      </c>
      <c r="F16" s="8">
        <f>C16/$C$23</f>
        <v/>
      </c>
      <c r="G16" s="90" t="n"/>
      <c r="H16" s="90" t="n"/>
      <c r="I16" s="8">
        <f>(G16-H16)/H16</f>
        <v/>
      </c>
      <c r="J16" s="8">
        <f>G16/$G$23</f>
        <v/>
      </c>
      <c r="K16" s="101" t="n"/>
      <c r="L16" s="101" t="n"/>
      <c r="M16" s="9">
        <f>(K16-L16)/L16</f>
        <v/>
      </c>
      <c r="N16" s="9">
        <f>K16/$K$23</f>
        <v/>
      </c>
      <c r="O16" s="84" t="n"/>
      <c r="P16" s="84" t="n"/>
      <c r="Q16" s="9">
        <f>(O16-P16)/P16</f>
        <v/>
      </c>
      <c r="R16" s="9">
        <f>O16/$O$23</f>
        <v/>
      </c>
      <c r="S16" s="85" t="n"/>
    </row>
    <row r="17" ht="16.5" customHeight="1" s="56">
      <c r="A17" s="86" t="n"/>
      <c r="B17" s="80" t="inlineStr">
        <is>
          <t>인텐스 UV프로텍터크림</t>
        </is>
      </c>
      <c r="C17" s="103" t="n"/>
      <c r="D17" s="103" t="n"/>
      <c r="E17" s="8">
        <f>(C17-D17)/D17</f>
        <v/>
      </c>
      <c r="F17" s="8">
        <f>C17/$C$23</f>
        <v/>
      </c>
      <c r="G17" s="90" t="n"/>
      <c r="H17" s="90" t="n"/>
      <c r="I17" s="8">
        <f>(G17-H17)/H17</f>
        <v/>
      </c>
      <c r="J17" s="8">
        <f>G17/$G$23</f>
        <v/>
      </c>
      <c r="K17" s="101" t="n"/>
      <c r="L17" s="101" t="n"/>
      <c r="M17" s="9">
        <f>(K17-L17)/L17</f>
        <v/>
      </c>
      <c r="N17" s="9">
        <f>K17/$K$23</f>
        <v/>
      </c>
      <c r="O17" s="84" t="n"/>
      <c r="P17" s="84" t="n"/>
      <c r="Q17" s="9">
        <f>(O17-P17)/P17</f>
        <v/>
      </c>
      <c r="R17" s="9">
        <f>O17/$O$23</f>
        <v/>
      </c>
      <c r="S17" s="85" t="n"/>
    </row>
    <row r="18" ht="16.5" customHeight="1" s="56">
      <c r="A18" s="86" t="n"/>
      <c r="B18" s="80" t="inlineStr">
        <is>
          <t>멜라C인퓨저</t>
        </is>
      </c>
      <c r="C18" s="103" t="n"/>
      <c r="D18" s="103" t="n"/>
      <c r="E18" s="8">
        <f>(C18-D18)/D18</f>
        <v/>
      </c>
      <c r="F18" s="8">
        <f>C18/$C$23</f>
        <v/>
      </c>
      <c r="G18" s="90" t="n"/>
      <c r="H18" s="82" t="n"/>
      <c r="I18" s="8">
        <f>(G18-H18)/H18</f>
        <v/>
      </c>
      <c r="J18" s="8">
        <f>G18/$G$23</f>
        <v/>
      </c>
      <c r="K18" s="101" t="n"/>
      <c r="L18" s="101" t="n"/>
      <c r="M18" s="9">
        <f>(K18-L18)/L18</f>
        <v/>
      </c>
      <c r="N18" s="9">
        <f>K18/$K$23</f>
        <v/>
      </c>
      <c r="O18" s="84" t="n"/>
      <c r="P18" s="84" t="n"/>
      <c r="Q18" s="9">
        <f>(O18-P18)/P18</f>
        <v/>
      </c>
      <c r="R18" s="9">
        <f>O18/$O$23</f>
        <v/>
      </c>
      <c r="S18" s="85" t="n"/>
    </row>
    <row r="19" ht="16.5" customHeight="1" s="56">
      <c r="A19" s="86" t="n"/>
      <c r="B19" s="80" t="inlineStr">
        <is>
          <t>GPS마스크 3종</t>
        </is>
      </c>
      <c r="C19" s="103" t="n"/>
      <c r="D19" s="103" t="n"/>
      <c r="E19" s="8">
        <f>(C19-D19)/D19</f>
        <v/>
      </c>
      <c r="F19" s="8">
        <f>C19/$C$23</f>
        <v/>
      </c>
      <c r="G19" s="90" t="n"/>
      <c r="H19" s="90" t="n"/>
      <c r="I19" s="8">
        <f>(G19-H19)/H19</f>
        <v/>
      </c>
      <c r="J19" s="8">
        <f>G19/$G$23</f>
        <v/>
      </c>
      <c r="K19" s="101" t="n"/>
      <c r="L19" s="101" t="n"/>
      <c r="M19" s="9">
        <f>(K19-L19)/L19</f>
        <v/>
      </c>
      <c r="N19" s="9">
        <f>K19/$K$23</f>
        <v/>
      </c>
      <c r="O19" s="84" t="n"/>
      <c r="P19" s="84" t="n"/>
      <c r="Q19" s="9">
        <f>(O19-P19)/P19</f>
        <v/>
      </c>
      <c r="R19" s="9">
        <f>O19/$O$23</f>
        <v/>
      </c>
      <c r="S19" s="85" t="n"/>
    </row>
    <row r="20" ht="16.5" customHeight="1" s="56">
      <c r="A20" s="86" t="n"/>
      <c r="B20" s="80" t="inlineStr">
        <is>
          <t>에스테틱 비비크림</t>
        </is>
      </c>
      <c r="C20" s="103" t="n"/>
      <c r="D20" s="103" t="n"/>
      <c r="E20" s="8">
        <f>(C20-D20)/D20</f>
        <v/>
      </c>
      <c r="F20" s="8">
        <f>C20/$C$23</f>
        <v/>
      </c>
      <c r="G20" s="90" t="n"/>
      <c r="H20" s="90" t="n"/>
      <c r="I20" s="8">
        <f>(G20-H20)/H20</f>
        <v/>
      </c>
      <c r="J20" s="8">
        <f>G20/$G$23</f>
        <v/>
      </c>
      <c r="K20" s="101" t="n"/>
      <c r="L20" s="101" t="n"/>
      <c r="M20" s="9">
        <f>(K20-L20)/L20</f>
        <v/>
      </c>
      <c r="N20" s="9">
        <f>K20/$K$23</f>
        <v/>
      </c>
      <c r="O20" s="84" t="n"/>
      <c r="P20" s="84" t="n"/>
      <c r="Q20" s="9">
        <f>(O20-P20)/P20</f>
        <v/>
      </c>
      <c r="R20" s="9">
        <f>O20/$O$23</f>
        <v/>
      </c>
      <c r="S20" s="85" t="n"/>
    </row>
    <row r="21" ht="16.5" customHeight="1" s="56">
      <c r="A21" s="86" t="n"/>
      <c r="B21" s="80" t="inlineStr">
        <is>
          <t>트로이아르케쿠션</t>
        </is>
      </c>
      <c r="C21" s="103" t="n"/>
      <c r="D21" s="103" t="n"/>
      <c r="E21" s="8">
        <f>(C21-D21)/D21</f>
        <v/>
      </c>
      <c r="F21" s="8">
        <f>C21/$C$23</f>
        <v/>
      </c>
      <c r="G21" s="90" t="n"/>
      <c r="H21" s="90" t="n"/>
      <c r="I21" s="8">
        <f>(G21-H21)/H21</f>
        <v/>
      </c>
      <c r="J21" s="8">
        <f>G21/$G$23</f>
        <v/>
      </c>
      <c r="K21" s="101" t="n"/>
      <c r="L21" s="101" t="n"/>
      <c r="M21" s="9">
        <f>(K21-L21)/L21</f>
        <v/>
      </c>
      <c r="N21" s="9">
        <f>K21/$K$23</f>
        <v/>
      </c>
      <c r="O21" s="84" t="n"/>
      <c r="P21" s="84" t="n"/>
      <c r="Q21" s="9">
        <f>(O21-P21)/P21</f>
        <v/>
      </c>
      <c r="R21" s="9">
        <f>O21/$O$23</f>
        <v/>
      </c>
      <c r="S21" s="85" t="n"/>
    </row>
    <row r="22" ht="16.5" customHeight="1" s="56">
      <c r="A22" s="86" t="n"/>
      <c r="B22" s="80" t="inlineStr">
        <is>
          <t>기타(링플, 샤쉐, LD, 악센)</t>
        </is>
      </c>
      <c r="C22" s="103" t="n"/>
      <c r="D22" s="103" t="n"/>
      <c r="E22" s="8">
        <f>(C22-D22)/D22</f>
        <v/>
      </c>
      <c r="F22" s="8">
        <f>C22/$C$23</f>
        <v/>
      </c>
      <c r="G22" s="90" t="n"/>
      <c r="H22" s="90" t="n"/>
      <c r="I22" s="8">
        <f>(G22-H22)/H22</f>
        <v/>
      </c>
      <c r="J22" s="8">
        <f>G22/$G$23</f>
        <v/>
      </c>
      <c r="K22" s="101" t="n"/>
      <c r="L22" s="101" t="n"/>
      <c r="M22" s="9">
        <f>(K22-L22)/L22</f>
        <v/>
      </c>
      <c r="N22" s="9">
        <f>K22/$K$23</f>
        <v/>
      </c>
      <c r="O22" s="84" t="n"/>
      <c r="P22" s="84" t="n"/>
      <c r="Q22" s="9">
        <f>(O22-P22)/P22</f>
        <v/>
      </c>
      <c r="R22" s="9">
        <f>O22/$O$23</f>
        <v/>
      </c>
      <c r="S22" s="85" t="n"/>
    </row>
    <row r="23" ht="16.5" customFormat="1" customHeight="1" s="91">
      <c r="A23" s="78" t="n"/>
      <c r="B23" s="92" t="inlineStr">
        <is>
          <t>소계</t>
        </is>
      </c>
      <c r="C23" s="104">
        <f>SUM(C4:C22)</f>
        <v/>
      </c>
      <c r="D23" s="104">
        <f>SUM(D4:D22)</f>
        <v/>
      </c>
      <c r="E23" s="20">
        <f>(C23-D23)/D23</f>
        <v/>
      </c>
      <c r="F23" s="20">
        <f>C23/$C$52</f>
        <v/>
      </c>
      <c r="G23" s="94">
        <f>SUM(G4:G22)</f>
        <v/>
      </c>
      <c r="H23" s="94">
        <f>SUM(H4:H22)</f>
        <v/>
      </c>
      <c r="I23" s="20">
        <f>(G23-H23)/H23</f>
        <v/>
      </c>
      <c r="J23" s="20">
        <f>G23/$G$52</f>
        <v/>
      </c>
      <c r="K23" s="104">
        <f>SUM(K4:K22)</f>
        <v/>
      </c>
      <c r="L23" s="104">
        <f>SUM(L4:L22)</f>
        <v/>
      </c>
      <c r="M23" s="20">
        <f>(K23-L23)/L23</f>
        <v/>
      </c>
      <c r="N23" s="20">
        <f>K23/$K$52</f>
        <v/>
      </c>
      <c r="O23" s="94">
        <f>SUM(O4:O22)</f>
        <v/>
      </c>
      <c r="P23" s="94">
        <f>SUM(P4:P22)</f>
        <v/>
      </c>
      <c r="Q23" s="20">
        <f>(O23-P23)/P23</f>
        <v/>
      </c>
      <c r="R23" s="20">
        <f>O23/$O$52</f>
        <v/>
      </c>
      <c r="S23" s="95" t="n"/>
      <c r="T23" s="65" t="n"/>
      <c r="U23" s="65" t="n"/>
      <c r="V23" s="65" t="n"/>
      <c r="W23" s="65" t="n"/>
      <c r="X23" s="65" t="n"/>
      <c r="Y23" s="65" t="n"/>
      <c r="Z23" s="65" t="n"/>
      <c r="AA23" s="65" t="n"/>
      <c r="AB23" s="65" t="n"/>
      <c r="AC23" s="65" t="n"/>
      <c r="AD23" s="65" t="n"/>
      <c r="AE23" s="65" t="n"/>
      <c r="AF23" s="65" t="n"/>
      <c r="AG23" s="65" t="n"/>
      <c r="AH23" s="65" t="n"/>
      <c r="AI23" s="65" t="n"/>
      <c r="AJ23" s="65" t="n"/>
      <c r="AK23" s="65" t="n"/>
      <c r="AL23" s="65" t="n"/>
      <c r="AM23" s="65" t="n"/>
      <c r="AN23" s="65" t="n"/>
      <c r="AO23" s="65" t="n"/>
      <c r="AP23" s="65" t="n"/>
      <c r="AQ23" s="65" t="n"/>
      <c r="AR23" s="65" t="n"/>
      <c r="AS23" s="65" t="n"/>
      <c r="AT23" s="65" t="n"/>
      <c r="AU23" s="65" t="n"/>
      <c r="AV23" s="65" t="n"/>
      <c r="AW23" s="65" t="n"/>
      <c r="AX23" s="65" t="n"/>
      <c r="AY23" s="65" t="n"/>
      <c r="AZ23" s="65" t="n"/>
      <c r="BA23" s="65" t="n"/>
      <c r="BB23" s="65" t="n"/>
      <c r="BC23" s="65" t="n"/>
      <c r="BD23" s="65" t="n"/>
      <c r="BE23" s="65" t="n"/>
      <c r="BF23" s="65" t="n"/>
      <c r="BG23" s="65" t="n"/>
      <c r="BH23" s="65" t="n"/>
      <c r="BI23" s="65" t="n"/>
      <c r="BJ23" s="65" t="n"/>
      <c r="BK23" s="65" t="n"/>
      <c r="BL23" s="65" t="n"/>
      <c r="BM23" s="65" t="n"/>
    </row>
    <row r="24" ht="16.5" customHeight="1" s="56">
      <c r="A24" s="79" t="inlineStr">
        <is>
          <t>TA 서울라인</t>
        </is>
      </c>
      <c r="B24" s="80" t="inlineStr">
        <is>
          <t>엑토인 톤업 선세럼</t>
        </is>
      </c>
      <c r="C24" s="103" t="n"/>
      <c r="D24" s="103" t="n"/>
      <c r="E24" s="8" t="n"/>
      <c r="F24" s="8">
        <f>C24/$C$31</f>
        <v/>
      </c>
      <c r="G24" s="90" t="n"/>
      <c r="H24" s="90" t="n"/>
      <c r="I24" s="8" t="n"/>
      <c r="J24" s="8">
        <f>G24/$G$31</f>
        <v/>
      </c>
      <c r="K24" s="101" t="n"/>
      <c r="L24" s="101" t="n"/>
      <c r="M24" s="9" t="n"/>
      <c r="N24" s="9">
        <f>K24/$K$31</f>
        <v/>
      </c>
      <c r="O24" s="84" t="n"/>
      <c r="P24" s="84" t="n"/>
      <c r="Q24" s="9" t="n"/>
      <c r="R24" s="9">
        <f>O24/$O$31</f>
        <v/>
      </c>
      <c r="S24" s="85" t="n"/>
    </row>
    <row r="25" ht="16.5" customHeight="1" s="56">
      <c r="A25" s="86" t="n"/>
      <c r="B25" s="80" t="inlineStr">
        <is>
          <t>옥시젠 토닝 클렌저</t>
        </is>
      </c>
      <c r="C25" s="103" t="n"/>
      <c r="D25" s="103" t="n"/>
      <c r="E25" s="8" t="n"/>
      <c r="F25" s="8">
        <f>C25/$C$23</f>
        <v/>
      </c>
      <c r="G25" s="90" t="n"/>
      <c r="H25" s="90" t="n"/>
      <c r="I25" s="8" t="n"/>
      <c r="J25" s="8">
        <f>G25/$G$31</f>
        <v/>
      </c>
      <c r="K25" s="101" t="n"/>
      <c r="L25" s="101" t="n"/>
      <c r="M25" s="9" t="n"/>
      <c r="N25" s="9">
        <f>K25/$K$31</f>
        <v/>
      </c>
      <c r="O25" s="84" t="n"/>
      <c r="P25" s="84" t="n"/>
      <c r="Q25" s="9" t="n"/>
      <c r="R25" s="9">
        <f>O25/$O$31</f>
        <v/>
      </c>
      <c r="S25" s="85" t="n"/>
    </row>
    <row r="26" ht="16.5" customHeight="1" s="56">
      <c r="A26" s="86" t="n"/>
      <c r="B26" s="80" t="inlineStr">
        <is>
          <t>워터인 퀀칭 세럼</t>
        </is>
      </c>
      <c r="C26" s="100" t="n"/>
      <c r="D26" s="103" t="n"/>
      <c r="E26" s="8" t="n"/>
      <c r="F26" s="8">
        <f>C26/$C$23</f>
        <v/>
      </c>
      <c r="G26" s="82" t="n"/>
      <c r="H26" s="90" t="n"/>
      <c r="I26" s="8" t="n"/>
      <c r="J26" s="8">
        <f>G26/$G$31</f>
        <v/>
      </c>
      <c r="K26" s="101" t="n"/>
      <c r="L26" s="101" t="n"/>
      <c r="M26" s="9" t="n"/>
      <c r="N26" s="9">
        <f>K26/$K$31</f>
        <v/>
      </c>
      <c r="O26" s="84" t="n"/>
      <c r="P26" s="84" t="n"/>
      <c r="Q26" s="9" t="n"/>
      <c r="R26" s="9">
        <f>O26/$O$31</f>
        <v/>
      </c>
      <c r="S26" s="85" t="n"/>
    </row>
    <row r="27" ht="16.5" customHeight="1" s="56">
      <c r="A27" s="86" t="n"/>
      <c r="B27" s="80" t="inlineStr">
        <is>
          <t>엑토인 퀀칭 크림</t>
        </is>
      </c>
      <c r="C27" s="100" t="n"/>
      <c r="D27" s="103" t="n"/>
      <c r="E27" s="8" t="n"/>
      <c r="F27" s="8">
        <f>C27/$C$23</f>
        <v/>
      </c>
      <c r="G27" s="90" t="n"/>
      <c r="H27" s="90" t="n"/>
      <c r="I27" s="8" t="n"/>
      <c r="J27" s="8">
        <f>G27/$G$31</f>
        <v/>
      </c>
      <c r="K27" s="101" t="n"/>
      <c r="L27" s="101" t="n"/>
      <c r="M27" s="9" t="n"/>
      <c r="N27" s="9">
        <f>K27/$K$31</f>
        <v/>
      </c>
      <c r="O27" s="84" t="n"/>
      <c r="P27" s="84" t="n"/>
      <c r="Q27" s="9" t="n"/>
      <c r="R27" s="9">
        <f>O27/$O$31</f>
        <v/>
      </c>
      <c r="S27" s="85" t="n"/>
    </row>
    <row r="28" ht="16.5" customHeight="1" s="56">
      <c r="A28" s="86" t="n"/>
      <c r="B28" s="80" t="inlineStr">
        <is>
          <t>더마인 리+베리어</t>
        </is>
      </c>
      <c r="C28" s="103" t="n"/>
      <c r="D28" s="103" t="n"/>
      <c r="E28" s="8" t="n"/>
      <c r="F28" s="8">
        <f>C28/$C$23</f>
        <v/>
      </c>
      <c r="G28" s="90" t="n"/>
      <c r="H28" s="90" t="n"/>
      <c r="I28" s="8" t="n"/>
      <c r="J28" s="8">
        <f>G28/$G$31</f>
        <v/>
      </c>
      <c r="K28" s="101" t="n"/>
      <c r="L28" s="101" t="n"/>
      <c r="M28" s="9" t="n"/>
      <c r="N28" s="9">
        <f>K28/$K$31</f>
        <v/>
      </c>
      <c r="O28" s="84" t="n"/>
      <c r="P28" s="84" t="n"/>
      <c r="Q28" s="9" t="n"/>
      <c r="R28" s="9">
        <f>O28/$O$31</f>
        <v/>
      </c>
      <c r="S28" s="85" t="n"/>
    </row>
    <row r="29" ht="16.5" customHeight="1" s="56">
      <c r="A29" s="86" t="n"/>
      <c r="B29" s="80" t="inlineStr">
        <is>
          <t>신부쿠션 21호/22호</t>
        </is>
      </c>
      <c r="C29" s="103" t="n"/>
      <c r="D29" s="103" t="n"/>
      <c r="E29" s="8">
        <f>(C29-D29)/D29</f>
        <v/>
      </c>
      <c r="F29" s="8">
        <f>C29/$C$23</f>
        <v/>
      </c>
      <c r="G29" s="90" t="n"/>
      <c r="H29" s="90" t="n"/>
      <c r="I29" s="8">
        <f>(G29-H29)/H29</f>
        <v/>
      </c>
      <c r="J29" s="8">
        <f>G29/$G$31</f>
        <v/>
      </c>
      <c r="K29" s="101" t="n"/>
      <c r="L29" s="101" t="n"/>
      <c r="M29" s="9">
        <f>(K29-L29)/L29</f>
        <v/>
      </c>
      <c r="N29" s="9">
        <f>K29/$K$31</f>
        <v/>
      </c>
      <c r="O29" s="84" t="n"/>
      <c r="P29" s="84" t="n"/>
      <c r="Q29" s="9">
        <f>(O29-P29)/P29</f>
        <v/>
      </c>
      <c r="R29" s="9">
        <f>O29/$O$31</f>
        <v/>
      </c>
      <c r="S29" s="85" t="n"/>
    </row>
    <row r="30" ht="16.5" customHeight="1" s="56">
      <c r="A30" s="86" t="n"/>
      <c r="B30" s="80" t="inlineStr">
        <is>
          <t>기타(세트상품)</t>
        </is>
      </c>
      <c r="C30" s="103" t="n"/>
      <c r="D30" s="103" t="n"/>
      <c r="E30" s="8" t="n"/>
      <c r="F30" s="8">
        <f>C30/$C$23</f>
        <v/>
      </c>
      <c r="G30" s="90" t="n"/>
      <c r="H30" s="90" t="n"/>
      <c r="I30" s="8" t="n"/>
      <c r="J30" s="8">
        <f>G30/$G$31</f>
        <v/>
      </c>
      <c r="K30" s="101" t="n"/>
      <c r="L30" s="101" t="n"/>
      <c r="M30" s="9" t="n"/>
      <c r="N30" s="9">
        <f>K30/$K$31</f>
        <v/>
      </c>
      <c r="O30" s="84" t="n"/>
      <c r="P30" s="84" t="n"/>
      <c r="Q30" s="9" t="n"/>
      <c r="R30" s="9">
        <f>O30/$O$31</f>
        <v/>
      </c>
      <c r="S30" s="85" t="n"/>
    </row>
    <row r="31" ht="16.5" customFormat="1" customHeight="1" s="91">
      <c r="A31" s="78" t="n"/>
      <c r="B31" s="92" t="inlineStr">
        <is>
          <t>소계</t>
        </is>
      </c>
      <c r="C31" s="104">
        <f>SUM(C24:C30)</f>
        <v/>
      </c>
      <c r="D31" s="104">
        <f>SUM(D24:D30)</f>
        <v/>
      </c>
      <c r="E31" s="20">
        <f>(C31-D31)/D31</f>
        <v/>
      </c>
      <c r="F31" s="20">
        <f>C31/$C$52</f>
        <v/>
      </c>
      <c r="G31" s="94">
        <f>SUM(G24:G30)</f>
        <v/>
      </c>
      <c r="H31" s="94">
        <f>SUM(H24:H30)</f>
        <v/>
      </c>
      <c r="I31" s="20">
        <f>(G31-H31)/H31</f>
        <v/>
      </c>
      <c r="J31" s="20">
        <f>G31/$G$52</f>
        <v/>
      </c>
      <c r="K31" s="104">
        <f>SUM(K24:K30)</f>
        <v/>
      </c>
      <c r="L31" s="104">
        <f>SUM(L24:L30)</f>
        <v/>
      </c>
      <c r="M31" s="20">
        <f>(K31-L31)/L31</f>
        <v/>
      </c>
      <c r="N31" s="20">
        <f>K31/$K$52</f>
        <v/>
      </c>
      <c r="O31" s="94">
        <f>SUM(O24:O30)</f>
        <v/>
      </c>
      <c r="P31" s="94">
        <f>SUM(P24:P30)</f>
        <v/>
      </c>
      <c r="Q31" s="20">
        <f>(O31-P31)/P31</f>
        <v/>
      </c>
      <c r="R31" s="20">
        <f>O31/$O$52</f>
        <v/>
      </c>
      <c r="S31" s="95" t="n"/>
      <c r="T31" s="65" t="n"/>
      <c r="U31" s="65" t="n"/>
      <c r="V31" s="65" t="n"/>
      <c r="W31" s="65" t="n"/>
      <c r="X31" s="65" t="n"/>
      <c r="Y31" s="65" t="n"/>
      <c r="Z31" s="65" t="n"/>
      <c r="AA31" s="65" t="n"/>
      <c r="AB31" s="65" t="n"/>
      <c r="AC31" s="65" t="n"/>
      <c r="AD31" s="65" t="n"/>
      <c r="AE31" s="65" t="n"/>
      <c r="AF31" s="65" t="n"/>
      <c r="AG31" s="65" t="n"/>
      <c r="AH31" s="65" t="n"/>
      <c r="AI31" s="65" t="n"/>
      <c r="AJ31" s="65" t="n"/>
      <c r="AK31" s="65" t="n"/>
      <c r="AL31" s="65" t="n"/>
      <c r="AM31" s="65" t="n"/>
      <c r="AN31" s="65" t="n"/>
      <c r="AO31" s="65" t="n"/>
      <c r="AP31" s="65" t="n"/>
      <c r="AQ31" s="65" t="n"/>
      <c r="AR31" s="65" t="n"/>
      <c r="AS31" s="65" t="n"/>
      <c r="AT31" s="65" t="n"/>
      <c r="AU31" s="65" t="n"/>
      <c r="AV31" s="65" t="n"/>
      <c r="AW31" s="65" t="n"/>
      <c r="AX31" s="65" t="n"/>
      <c r="AY31" s="65" t="n"/>
      <c r="AZ31" s="65" t="n"/>
      <c r="BA31" s="65" t="n"/>
      <c r="BB31" s="65" t="n"/>
      <c r="BC31" s="65" t="n"/>
      <c r="BD31" s="65" t="n"/>
      <c r="BE31" s="65" t="n"/>
      <c r="BF31" s="65" t="n"/>
      <c r="BG31" s="65" t="n"/>
      <c r="BH31" s="65" t="n"/>
      <c r="BI31" s="65" t="n"/>
      <c r="BJ31" s="65" t="n"/>
      <c r="BK31" s="65" t="n"/>
      <c r="BL31" s="65" t="n"/>
      <c r="BM31" s="65" t="n"/>
    </row>
    <row r="32" ht="16.5" customHeight="1" s="56">
      <c r="A32" s="79" t="inlineStr">
        <is>
          <t>미용기기</t>
        </is>
      </c>
      <c r="B32" s="80" t="inlineStr">
        <is>
          <t>멜라소닉(부속품포함)</t>
        </is>
      </c>
      <c r="C32" s="103" t="n"/>
      <c r="D32" s="103" t="n"/>
      <c r="E32" s="8">
        <f>(C32-D32)/D32</f>
        <v/>
      </c>
      <c r="F32" s="8">
        <f>C32/$C$36</f>
        <v/>
      </c>
      <c r="G32" s="90" t="n"/>
      <c r="H32" s="90" t="n"/>
      <c r="I32" s="8">
        <f>(G32-H32)/H32</f>
        <v/>
      </c>
      <c r="J32" s="8">
        <f>G32/$G$36</f>
        <v/>
      </c>
      <c r="K32" s="101" t="n"/>
      <c r="L32" s="101" t="n"/>
      <c r="M32" s="9">
        <f>(K32-L32)/L32</f>
        <v/>
      </c>
      <c r="N32" s="9">
        <f>K32/$K$36</f>
        <v/>
      </c>
      <c r="O32" s="84" t="n"/>
      <c r="P32" s="84" t="n"/>
      <c r="Q32" s="9">
        <f>(O32-P32)/P32</f>
        <v/>
      </c>
      <c r="R32" s="9">
        <f>O32/$O$36</f>
        <v/>
      </c>
      <c r="S32" s="85" t="n"/>
    </row>
    <row r="33" ht="16.5" customHeight="1" s="56">
      <c r="A33" s="86" t="n"/>
      <c r="B33" s="80" t="inlineStr">
        <is>
          <t>아크소닉(부속품포함)</t>
        </is>
      </c>
      <c r="C33" s="103" t="n"/>
      <c r="D33" s="103" t="n"/>
      <c r="E33" s="8">
        <f>(C33-D33)/D33</f>
        <v/>
      </c>
      <c r="F33" s="8">
        <f>C33/$C$36</f>
        <v/>
      </c>
      <c r="G33" s="90" t="n"/>
      <c r="H33" s="82" t="n"/>
      <c r="I33" s="8">
        <f>(G33-H33)/H33</f>
        <v/>
      </c>
      <c r="J33" s="8">
        <f>G33/$G$36</f>
        <v/>
      </c>
      <c r="K33" s="101" t="n"/>
      <c r="L33" s="101" t="n"/>
      <c r="M33" s="9">
        <f>(K33-L33)/L33</f>
        <v/>
      </c>
      <c r="N33" s="9">
        <f>K33/$K$36</f>
        <v/>
      </c>
      <c r="O33" s="84" t="n"/>
      <c r="P33" s="84" t="n"/>
      <c r="Q33" s="9">
        <f>(O33-P33)/P33</f>
        <v/>
      </c>
      <c r="R33" s="9">
        <f>O33/$O$36</f>
        <v/>
      </c>
      <c r="S33" s="85" t="n"/>
    </row>
    <row r="34" ht="16.5" customHeight="1" s="56">
      <c r="A34" s="86" t="n"/>
      <c r="B34" s="80" t="inlineStr">
        <is>
          <t>엘디소닉(부속품포함)</t>
        </is>
      </c>
      <c r="C34" s="103" t="n"/>
      <c r="D34" s="103" t="n"/>
      <c r="E34" s="8" t="n"/>
      <c r="F34" s="8">
        <f>C34/$C$36</f>
        <v/>
      </c>
      <c r="G34" s="90" t="n"/>
      <c r="H34" s="90" t="n"/>
      <c r="I34" s="8" t="n"/>
      <c r="J34" s="8">
        <f>G34/$G$36</f>
        <v/>
      </c>
      <c r="K34" s="101" t="n"/>
      <c r="L34" s="101" t="n"/>
      <c r="M34" s="9" t="n"/>
      <c r="N34" s="9">
        <f>K34/$K$36</f>
        <v/>
      </c>
      <c r="O34" s="84" t="n"/>
      <c r="P34" s="84" t="n"/>
      <c r="Q34" s="9" t="n"/>
      <c r="R34" s="9">
        <f>O34/$O$36</f>
        <v/>
      </c>
      <c r="S34" s="85" t="n"/>
    </row>
    <row r="35" ht="16.5" customHeight="1" s="56">
      <c r="A35" s="86" t="n"/>
      <c r="B35" s="80" t="inlineStr">
        <is>
          <t>AI피부진단기</t>
        </is>
      </c>
      <c r="C35" s="105" t="n"/>
      <c r="D35" s="100" t="n"/>
      <c r="E35" s="8" t="n"/>
      <c r="F35" s="8">
        <f>C35/$C$36</f>
        <v/>
      </c>
      <c r="G35" s="90" t="n"/>
      <c r="H35" s="90" t="n"/>
      <c r="I35" s="8" t="n"/>
      <c r="J35" s="8">
        <f>G35/$G$36</f>
        <v/>
      </c>
      <c r="K35" s="101" t="n"/>
      <c r="L35" s="101" t="n"/>
      <c r="M35" s="9" t="n"/>
      <c r="N35" s="9">
        <f>K35/$K$36</f>
        <v/>
      </c>
      <c r="O35" s="84" t="n"/>
      <c r="P35" s="84" t="n"/>
      <c r="Q35" s="9" t="n"/>
      <c r="R35" s="9">
        <f>O35/$O$36</f>
        <v/>
      </c>
      <c r="S35" s="85" t="n"/>
    </row>
    <row r="36" ht="16.5" customFormat="1" customHeight="1" s="91">
      <c r="A36" s="78" t="n"/>
      <c r="B36" s="92" t="inlineStr">
        <is>
          <t>소계</t>
        </is>
      </c>
      <c r="C36" s="104">
        <f>SUM(C32:C35)</f>
        <v/>
      </c>
      <c r="D36" s="104">
        <f>SUM(D32:D35)</f>
        <v/>
      </c>
      <c r="E36" s="20">
        <f>(C36-D36)/D36</f>
        <v/>
      </c>
      <c r="F36" s="20">
        <f>C36/$C$52</f>
        <v/>
      </c>
      <c r="G36" s="94">
        <f>SUM(G32:G35)</f>
        <v/>
      </c>
      <c r="H36" s="94">
        <f>SUM(H32:H35)</f>
        <v/>
      </c>
      <c r="I36" s="20">
        <f>(G36-H36)/H36</f>
        <v/>
      </c>
      <c r="J36" s="20">
        <f>G36/$G$52</f>
        <v/>
      </c>
      <c r="K36" s="104">
        <f>SUM(K32:K35)</f>
        <v/>
      </c>
      <c r="L36" s="104">
        <f>SUM(L32:L35)</f>
        <v/>
      </c>
      <c r="M36" s="20">
        <f>(K36-L36)/L36</f>
        <v/>
      </c>
      <c r="N36" s="20">
        <f>K36/$K$52</f>
        <v/>
      </c>
      <c r="O36" s="94">
        <f>SUM(O32:O35)</f>
        <v/>
      </c>
      <c r="P36" s="94">
        <f>SUM(P32:P35)</f>
        <v/>
      </c>
      <c r="Q36" s="20">
        <f>(O36-P36)/P36</f>
        <v/>
      </c>
      <c r="R36" s="20">
        <f>O36/$O$52</f>
        <v/>
      </c>
      <c r="S36" s="9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65" t="n"/>
      <c r="AM36" s="65" t="n"/>
      <c r="AN36" s="65" t="n"/>
      <c r="AO36" s="65" t="n"/>
      <c r="AP36" s="65" t="n"/>
      <c r="AQ36" s="65" t="n"/>
      <c r="AR36" s="65" t="n"/>
      <c r="AS36" s="65" t="n"/>
      <c r="AT36" s="65" t="n"/>
      <c r="AU36" s="65" t="n"/>
      <c r="AV36" s="65" t="n"/>
      <c r="AW36" s="65" t="n"/>
      <c r="AX36" s="65" t="n"/>
      <c r="AY36" s="65" t="n"/>
      <c r="AZ36" s="65" t="n"/>
      <c r="BA36" s="65" t="n"/>
      <c r="BB36" s="65" t="n"/>
      <c r="BC36" s="65" t="n"/>
      <c r="BD36" s="65" t="n"/>
      <c r="BE36" s="65" t="n"/>
      <c r="BF36" s="65" t="n"/>
      <c r="BG36" s="65" t="n"/>
      <c r="BH36" s="65" t="n"/>
      <c r="BI36" s="65" t="n"/>
      <c r="BJ36" s="65" t="n"/>
      <c r="BK36" s="65" t="n"/>
      <c r="BL36" s="65" t="n"/>
      <c r="BM36" s="65" t="n"/>
    </row>
    <row r="37">
      <c r="A37" s="79" t="inlineStr">
        <is>
          <t>담 향</t>
        </is>
      </c>
      <c r="B37" s="85" t="inlineStr">
        <is>
          <t>소프트브레스</t>
        </is>
      </c>
      <c r="C37" s="103" t="n"/>
      <c r="D37" s="103" t="n"/>
      <c r="E37" s="8" t="n"/>
      <c r="F37" s="8">
        <f>C37/$C$40</f>
        <v/>
      </c>
      <c r="G37" s="90" t="n"/>
      <c r="H37" s="90" t="n"/>
      <c r="I37" s="8" t="n"/>
      <c r="J37" s="8">
        <f>G37/$G$40</f>
        <v/>
      </c>
      <c r="K37" s="101" t="n"/>
      <c r="L37" s="101" t="n"/>
      <c r="M37" s="9">
        <f>(K37-L37)/L37</f>
        <v/>
      </c>
      <c r="N37" s="9">
        <f>K37/$K$40</f>
        <v/>
      </c>
      <c r="O37" s="84" t="n"/>
      <c r="P37" s="84" t="n"/>
      <c r="Q37" s="9">
        <f>(O37-P37)/P37</f>
        <v/>
      </c>
      <c r="R37" s="9">
        <f>O37/$O$40</f>
        <v/>
      </c>
      <c r="S37" s="85" t="n"/>
    </row>
    <row r="38">
      <c r="A38" s="86" t="n"/>
      <c r="B38" s="85" t="inlineStr">
        <is>
          <t>슈퍼아로마</t>
        </is>
      </c>
      <c r="C38" s="103" t="n"/>
      <c r="D38" s="103" t="n"/>
      <c r="E38" s="8" t="n"/>
      <c r="F38" s="8">
        <f>C38/$C$40</f>
        <v/>
      </c>
      <c r="G38" s="82" t="n"/>
      <c r="H38" s="90" t="n"/>
      <c r="I38" s="8" t="n"/>
      <c r="J38" s="8">
        <f>G38/$G$40</f>
        <v/>
      </c>
      <c r="K38" s="101" t="n"/>
      <c r="L38" s="101" t="n"/>
      <c r="M38" s="9">
        <f>(K38-L38)/L38</f>
        <v/>
      </c>
      <c r="N38" s="9">
        <f>K38/$K$40</f>
        <v/>
      </c>
      <c r="O38" s="84" t="n"/>
      <c r="P38" s="84" t="n"/>
      <c r="Q38" s="9">
        <f>(O38-P38)/P38</f>
        <v/>
      </c>
      <c r="R38" s="9">
        <f>O38/$O$40</f>
        <v/>
      </c>
      <c r="S38" s="85" t="n"/>
    </row>
    <row r="39">
      <c r="A39" s="86" t="n"/>
      <c r="B39" s="85" t="inlineStr">
        <is>
          <t>기타</t>
        </is>
      </c>
      <c r="C39" s="103" t="n"/>
      <c r="D39" s="103" t="n"/>
      <c r="E39" s="8">
        <f>(C39-D39)/D39</f>
        <v/>
      </c>
      <c r="F39" s="8">
        <f>C39/$C$40</f>
        <v/>
      </c>
      <c r="G39" s="90" t="n"/>
      <c r="H39" s="90" t="n"/>
      <c r="I39" s="8">
        <f>(G39-H39)/H39</f>
        <v/>
      </c>
      <c r="J39" s="8">
        <f>G39/$G$40</f>
        <v/>
      </c>
      <c r="K39" s="101" t="n"/>
      <c r="L39" s="101" t="n"/>
      <c r="M39" s="9">
        <f>(K39-L39)/L39</f>
        <v/>
      </c>
      <c r="N39" s="9">
        <f>K39/$K$40</f>
        <v/>
      </c>
      <c r="O39" s="84" t="n"/>
      <c r="P39" s="84" t="n"/>
      <c r="Q39" s="9">
        <f>(O39-P39)/P39</f>
        <v/>
      </c>
      <c r="R39" s="9">
        <f>O39/$O$40</f>
        <v/>
      </c>
      <c r="S39" s="85" t="n"/>
    </row>
    <row r="40" customFormat="1" s="91">
      <c r="A40" s="78" t="n"/>
      <c r="B40" s="92" t="inlineStr">
        <is>
          <t>소계</t>
        </is>
      </c>
      <c r="C40" s="104">
        <f>SUM(C37:C39)</f>
        <v/>
      </c>
      <c r="D40" s="104">
        <f>SUM(D37:D39)</f>
        <v/>
      </c>
      <c r="E40" s="20">
        <f>(C40-D40)/D40</f>
        <v/>
      </c>
      <c r="F40" s="20">
        <f>C40/$C$52</f>
        <v/>
      </c>
      <c r="G40" s="94">
        <f>SUM(G37:G39)</f>
        <v/>
      </c>
      <c r="H40" s="94">
        <f>SUM(H37:H39)</f>
        <v/>
      </c>
      <c r="I40" s="20">
        <f>(G40-H40)/H40</f>
        <v/>
      </c>
      <c r="J40" s="20">
        <f>G40/$G$52</f>
        <v/>
      </c>
      <c r="K40" s="104">
        <f>SUM(K37:K39)</f>
        <v/>
      </c>
      <c r="L40" s="104">
        <f>SUM(L37:L39)</f>
        <v/>
      </c>
      <c r="M40" s="20">
        <f>(K40-L40)/L40</f>
        <v/>
      </c>
      <c r="N40" s="20">
        <f>K40/$K$52</f>
        <v/>
      </c>
      <c r="O40" s="94">
        <f>SUM(O37:O39)</f>
        <v/>
      </c>
      <c r="P40" s="94">
        <f>SUM(P37:P39)</f>
        <v/>
      </c>
      <c r="Q40" s="20">
        <f>(O40-P40)/P40</f>
        <v/>
      </c>
      <c r="R40" s="20">
        <f>O40/$O$52</f>
        <v/>
      </c>
      <c r="S40" s="95" t="n"/>
      <c r="T40" s="65" t="n"/>
      <c r="U40" s="65" t="n"/>
      <c r="V40" s="65" t="n"/>
      <c r="W40" s="65" t="n"/>
      <c r="X40" s="65" t="n"/>
      <c r="Y40" s="65" t="n"/>
      <c r="Z40" s="65" t="n"/>
      <c r="AA40" s="65" t="n"/>
      <c r="AB40" s="65" t="n"/>
      <c r="AC40" s="65" t="n"/>
      <c r="AD40" s="65" t="n"/>
      <c r="AE40" s="65" t="n"/>
      <c r="AF40" s="65" t="n"/>
      <c r="AG40" s="65" t="n"/>
      <c r="AH40" s="65" t="n"/>
      <c r="AI40" s="65" t="n"/>
      <c r="AJ40" s="65" t="n"/>
      <c r="AK40" s="65" t="n"/>
      <c r="AL40" s="65" t="n"/>
      <c r="AM40" s="65" t="n"/>
      <c r="AN40" s="65" t="n"/>
      <c r="AO40" s="65" t="n"/>
      <c r="AP40" s="65" t="n"/>
      <c r="AQ40" s="65" t="n"/>
      <c r="AR40" s="65" t="n"/>
      <c r="AS40" s="65" t="n"/>
      <c r="AT40" s="65" t="n"/>
      <c r="AU40" s="65" t="n"/>
      <c r="AV40" s="65" t="n"/>
      <c r="AW40" s="65" t="n"/>
      <c r="AX40" s="65" t="n"/>
      <c r="AY40" s="65" t="n"/>
      <c r="AZ40" s="65" t="n"/>
      <c r="BA40" s="65" t="n"/>
      <c r="BB40" s="65" t="n"/>
      <c r="BC40" s="65" t="n"/>
      <c r="BD40" s="65" t="n"/>
      <c r="BE40" s="65" t="n"/>
      <c r="BF40" s="65" t="n"/>
      <c r="BG40" s="65" t="n"/>
      <c r="BH40" s="65" t="n"/>
      <c r="BI40" s="65" t="n"/>
      <c r="BJ40" s="65" t="n"/>
      <c r="BK40" s="65" t="n"/>
      <c r="BL40" s="65" t="n"/>
      <c r="BM40" s="65" t="n"/>
    </row>
    <row r="41">
      <c r="A41" s="79" t="inlineStr">
        <is>
          <t>밀리맘</t>
        </is>
      </c>
      <c r="B41" s="80" t="inlineStr">
        <is>
          <t>오일앤크림</t>
        </is>
      </c>
      <c r="C41" s="103" t="n"/>
      <c r="D41" s="103" t="n"/>
      <c r="E41" s="8">
        <f>(C41-D41)/D41</f>
        <v/>
      </c>
      <c r="F41" s="8">
        <f>C41/$C$46</f>
        <v/>
      </c>
      <c r="G41" s="90" t="n"/>
      <c r="H41" s="90" t="n"/>
      <c r="I41" s="8">
        <f>(G41-H41)/H41</f>
        <v/>
      </c>
      <c r="J41" s="8">
        <f>G41/$G$46</f>
        <v/>
      </c>
      <c r="K41" s="101" t="n"/>
      <c r="L41" s="101" t="n"/>
      <c r="M41" s="9">
        <f>(K41-L41)/L41</f>
        <v/>
      </c>
      <c r="N41" s="9">
        <f>K41/$K$46</f>
        <v/>
      </c>
      <c r="O41" s="84" t="n"/>
      <c r="P41" s="84" t="n"/>
      <c r="Q41" s="9">
        <f>(O41-P41)/P41</f>
        <v/>
      </c>
      <c r="R41" s="9">
        <f>O41/$O$46</f>
        <v/>
      </c>
      <c r="S41" s="85" t="n"/>
    </row>
    <row r="42">
      <c r="A42" s="86" t="n"/>
      <c r="B42" s="80" t="inlineStr">
        <is>
          <t>아토크림</t>
        </is>
      </c>
      <c r="C42" s="103" t="n"/>
      <c r="D42" s="103" t="n"/>
      <c r="E42" s="8" t="n"/>
      <c r="F42" s="8">
        <f>C42/$C$46</f>
        <v/>
      </c>
      <c r="G42" s="90" t="n"/>
      <c r="H42" s="90" t="n"/>
      <c r="I42" s="8" t="n"/>
      <c r="J42" s="8">
        <f>G42/$G$46</f>
        <v/>
      </c>
      <c r="K42" s="101" t="n"/>
      <c r="L42" s="101" t="n"/>
      <c r="M42" s="9" t="n"/>
      <c r="N42" s="9">
        <f>K42/$K$46</f>
        <v/>
      </c>
      <c r="O42" s="84" t="n"/>
      <c r="P42" s="84" t="n"/>
      <c r="Q42" s="9" t="n"/>
      <c r="R42" s="9">
        <f>O42/$O$46</f>
        <v/>
      </c>
      <c r="S42" s="85" t="n"/>
    </row>
    <row r="43">
      <c r="A43" s="86" t="n"/>
      <c r="B43" s="80" t="inlineStr">
        <is>
          <t>새싹 로션</t>
        </is>
      </c>
      <c r="C43" s="103" t="n"/>
      <c r="D43" s="103" t="n"/>
      <c r="E43" s="8">
        <f>(C43-D43)/D43</f>
        <v/>
      </c>
      <c r="F43" s="8">
        <f>C43/$C$46</f>
        <v/>
      </c>
      <c r="G43" s="90" t="n"/>
      <c r="H43" s="90" t="n"/>
      <c r="I43" s="8">
        <f>(G43-H43)/H43</f>
        <v/>
      </c>
      <c r="J43" s="8">
        <f>G43/$G$46</f>
        <v/>
      </c>
      <c r="K43" s="101" t="n"/>
      <c r="L43" s="101" t="n"/>
      <c r="M43" s="9">
        <f>(K43-L43)/L43</f>
        <v/>
      </c>
      <c r="N43" s="9">
        <f>K43/$K$46</f>
        <v/>
      </c>
      <c r="O43" s="84" t="n"/>
      <c r="P43" s="84" t="n"/>
      <c r="Q43" s="9">
        <f>(O43-P43)/P43</f>
        <v/>
      </c>
      <c r="R43" s="9">
        <f>O43/$O$46</f>
        <v/>
      </c>
      <c r="S43" s="85" t="n"/>
    </row>
    <row r="44">
      <c r="A44" s="86" t="n"/>
      <c r="B44" s="80" t="inlineStr">
        <is>
          <t>새싹 워시</t>
        </is>
      </c>
      <c r="C44" s="103" t="n"/>
      <c r="D44" s="103" t="n"/>
      <c r="E44" s="8">
        <f>(C44-D44)/D44</f>
        <v/>
      </c>
      <c r="F44" s="8">
        <f>C44/$C$46</f>
        <v/>
      </c>
      <c r="G44" s="90" t="n"/>
      <c r="H44" s="90" t="n"/>
      <c r="I44" s="8">
        <f>(G44-H44)/H44</f>
        <v/>
      </c>
      <c r="J44" s="8">
        <f>G44/$G$46</f>
        <v/>
      </c>
      <c r="K44" s="101" t="n"/>
      <c r="L44" s="101" t="n"/>
      <c r="M44" s="9">
        <f>(K44-L44)/L44</f>
        <v/>
      </c>
      <c r="N44" s="9">
        <f>K44/$K$46</f>
        <v/>
      </c>
      <c r="O44" s="84" t="n"/>
      <c r="P44" s="84" t="n"/>
      <c r="Q44" s="9">
        <f>(O44-P44)/P44</f>
        <v/>
      </c>
      <c r="R44" s="9">
        <f>O44/$O$46</f>
        <v/>
      </c>
      <c r="S44" s="85" t="n"/>
    </row>
    <row r="45">
      <c r="A45" s="86" t="n"/>
      <c r="B45" s="80" t="inlineStr">
        <is>
          <t>기타(젤, 힙, 미니, 세트)</t>
        </is>
      </c>
      <c r="C45" s="103" t="n"/>
      <c r="D45" s="103" t="n"/>
      <c r="E45" s="8">
        <f>(C45-D45)/D45</f>
        <v/>
      </c>
      <c r="F45" s="8">
        <f>C45/$C$46</f>
        <v/>
      </c>
      <c r="G45" s="90" t="n"/>
      <c r="H45" s="90" t="n"/>
      <c r="I45" s="8">
        <f>(G45-H45)/H45</f>
        <v/>
      </c>
      <c r="J45" s="8">
        <f>G45/$G$46</f>
        <v/>
      </c>
      <c r="K45" s="101" t="n"/>
      <c r="L45" s="101" t="n"/>
      <c r="M45" s="9">
        <f>(K45-L45)/L45</f>
        <v/>
      </c>
      <c r="N45" s="9">
        <f>K45/$K$46</f>
        <v/>
      </c>
      <c r="O45" s="84" t="n"/>
      <c r="P45" s="84" t="n"/>
      <c r="Q45" s="9">
        <f>(O45-P45)/P45</f>
        <v/>
      </c>
      <c r="R45" s="9">
        <f>O45/$O$46</f>
        <v/>
      </c>
      <c r="S45" s="85" t="n"/>
    </row>
    <row r="46" customFormat="1" s="91">
      <c r="A46" s="78" t="n"/>
      <c r="B46" s="92" t="inlineStr">
        <is>
          <t>소계</t>
        </is>
      </c>
      <c r="C46" s="104">
        <f>SUM(C41:C45)</f>
        <v/>
      </c>
      <c r="D46" s="104">
        <f>SUM(D41:D45)</f>
        <v/>
      </c>
      <c r="E46" s="20">
        <f>(C46-D46)/D46</f>
        <v/>
      </c>
      <c r="F46" s="20">
        <f>C46/$C$52</f>
        <v/>
      </c>
      <c r="G46" s="94">
        <f>SUM(G41:G45)</f>
        <v/>
      </c>
      <c r="H46" s="94">
        <f>SUM(H41:H45)</f>
        <v/>
      </c>
      <c r="I46" s="20">
        <f>(G46-H46)/H46</f>
        <v/>
      </c>
      <c r="J46" s="20">
        <f>G46/$G$52</f>
        <v/>
      </c>
      <c r="K46" s="104">
        <f>SUM(K41:K45)</f>
        <v/>
      </c>
      <c r="L46" s="104">
        <f>SUM(L41:L45)</f>
        <v/>
      </c>
      <c r="M46" s="20">
        <f>(K46-L46)/L46</f>
        <v/>
      </c>
      <c r="N46" s="20">
        <f>K46/$K$52</f>
        <v/>
      </c>
      <c r="O46" s="94">
        <f>SUM(O41:O45)</f>
        <v/>
      </c>
      <c r="P46" s="94">
        <f>SUM(P41:P45)</f>
        <v/>
      </c>
      <c r="Q46" s="20">
        <f>(O46-P46)/P46</f>
        <v/>
      </c>
      <c r="R46" s="20">
        <f>O46/$O$52</f>
        <v/>
      </c>
      <c r="S46" s="95" t="n"/>
      <c r="T46" s="65" t="n"/>
      <c r="U46" s="65" t="n"/>
      <c r="V46" s="65" t="n"/>
      <c r="W46" s="65" t="n"/>
      <c r="X46" s="65" t="n"/>
      <c r="Y46" s="65" t="n"/>
      <c r="Z46" s="65" t="n"/>
      <c r="AA46" s="65" t="n"/>
      <c r="AB46" s="65" t="n"/>
      <c r="AC46" s="65" t="n"/>
      <c r="AD46" s="65" t="n"/>
      <c r="AE46" s="65" t="n"/>
      <c r="AF46" s="65" t="n"/>
      <c r="AG46" s="65" t="n"/>
      <c r="AH46" s="65" t="n"/>
      <c r="AI46" s="65" t="n"/>
      <c r="AJ46" s="65" t="n"/>
      <c r="AK46" s="65" t="n"/>
      <c r="AL46" s="65" t="n"/>
      <c r="AM46" s="65" t="n"/>
      <c r="AN46" s="65" t="n"/>
      <c r="AO46" s="65" t="n"/>
      <c r="AP46" s="65" t="n"/>
      <c r="AQ46" s="65" t="n"/>
      <c r="AR46" s="65" t="n"/>
      <c r="AS46" s="65" t="n"/>
      <c r="AT46" s="65" t="n"/>
      <c r="AU46" s="65" t="n"/>
      <c r="AV46" s="65" t="n"/>
      <c r="AW46" s="65" t="n"/>
      <c r="AX46" s="65" t="n"/>
      <c r="AY46" s="65" t="n"/>
      <c r="AZ46" s="65" t="n"/>
      <c r="BA46" s="65" t="n"/>
      <c r="BB46" s="65" t="n"/>
      <c r="BC46" s="65" t="n"/>
      <c r="BD46" s="65" t="n"/>
      <c r="BE46" s="65" t="n"/>
      <c r="BF46" s="65" t="n"/>
      <c r="BG46" s="65" t="n"/>
      <c r="BH46" s="65" t="n"/>
      <c r="BI46" s="65" t="n"/>
      <c r="BJ46" s="65" t="n"/>
      <c r="BK46" s="65" t="n"/>
      <c r="BL46" s="65" t="n"/>
      <c r="BM46" s="65" t="n"/>
    </row>
    <row r="47">
      <c r="A47" s="79" t="inlineStr">
        <is>
          <t>기 타</t>
        </is>
      </c>
      <c r="B47" s="85" t="inlineStr">
        <is>
          <t>할인</t>
        </is>
      </c>
      <c r="C47" s="103" t="n"/>
      <c r="D47" s="103" t="n"/>
      <c r="E47" s="8">
        <f>(C47-D47)/D47</f>
        <v/>
      </c>
      <c r="F47" s="8">
        <f>C47/$C$51</f>
        <v/>
      </c>
      <c r="G47" s="90" t="n"/>
      <c r="H47" s="90" t="n"/>
      <c r="I47" s="8">
        <f>(G47-H47)/H47</f>
        <v/>
      </c>
      <c r="J47" s="8">
        <f>G47/$G$51</f>
        <v/>
      </c>
      <c r="K47" s="101" t="n"/>
      <c r="L47" s="101" t="n"/>
      <c r="M47" s="9">
        <f>(K47-L47)/L47</f>
        <v/>
      </c>
      <c r="N47" s="9">
        <f>K47/$K$51</f>
        <v/>
      </c>
      <c r="O47" s="84" t="n"/>
      <c r="P47" s="84" t="n"/>
      <c r="Q47" s="9">
        <f>(O47-P47)/P47</f>
        <v/>
      </c>
      <c r="R47" s="9">
        <f>O47/$O$51</f>
        <v/>
      </c>
      <c r="S47" s="85" t="n"/>
    </row>
    <row r="48">
      <c r="A48" s="86" t="n"/>
      <c r="B48" s="85" t="inlineStr">
        <is>
          <t>뷰티툴(BT)</t>
        </is>
      </c>
      <c r="C48" s="103" t="n"/>
      <c r="D48" s="103" t="n"/>
      <c r="E48" s="8">
        <f>(C48-D48)/D48</f>
        <v/>
      </c>
      <c r="F48" s="8">
        <f>C48/$C$51</f>
        <v/>
      </c>
      <c r="G48" s="90" t="n"/>
      <c r="H48" s="90" t="n"/>
      <c r="I48" s="8">
        <f>(G48-H48)/H48</f>
        <v/>
      </c>
      <c r="J48" s="8">
        <f>G48/$G$51</f>
        <v/>
      </c>
      <c r="K48" s="101" t="n"/>
      <c r="L48" s="101" t="n"/>
      <c r="M48" s="9">
        <f>(K48-L48)/L48</f>
        <v/>
      </c>
      <c r="N48" s="9">
        <f>K48/$K$51</f>
        <v/>
      </c>
      <c r="O48" s="84" t="n"/>
      <c r="P48" s="84" t="n"/>
      <c r="Q48" s="9">
        <f>(O48-P48)/P48</f>
        <v/>
      </c>
      <c r="R48" s="9">
        <f>O48/$O$51</f>
        <v/>
      </c>
      <c r="S48" s="85" t="n"/>
    </row>
    <row r="49">
      <c r="A49" s="86" t="n"/>
      <c r="B49" s="85" t="inlineStr">
        <is>
          <t>파트너스(교육)</t>
        </is>
      </c>
      <c r="C49" s="103" t="n"/>
      <c r="D49" s="103" t="n"/>
      <c r="E49" s="8" t="n"/>
      <c r="F49" s="8">
        <f>C49/$C$51</f>
        <v/>
      </c>
      <c r="G49" s="90" t="n"/>
      <c r="H49" s="90" t="n"/>
      <c r="I49" s="8" t="n"/>
      <c r="J49" s="8">
        <f>G49/$G$51</f>
        <v/>
      </c>
      <c r="K49" s="101" t="n"/>
      <c r="L49" s="101" t="n"/>
      <c r="M49" s="9" t="n"/>
      <c r="N49" s="9">
        <f>K49/$K$51</f>
        <v/>
      </c>
      <c r="O49" s="84" t="n"/>
      <c r="P49" s="84" t="n"/>
      <c r="Q49" s="9" t="n"/>
      <c r="R49" s="9">
        <f>O49/$O$51</f>
        <v/>
      </c>
      <c r="S49" s="85" t="inlineStr">
        <is>
          <t>확인 불가</t>
        </is>
      </c>
    </row>
    <row r="50">
      <c r="A50" s="86" t="n"/>
      <c r="B50" s="85" t="inlineStr">
        <is>
          <t>기타(택배비, 리플렛, 단종)</t>
        </is>
      </c>
      <c r="C50" s="103" t="n"/>
      <c r="D50" s="103" t="n"/>
      <c r="E50" s="8">
        <f>(C50-D50)/D50</f>
        <v/>
      </c>
      <c r="F50" s="8">
        <f>C50/$C$51</f>
        <v/>
      </c>
      <c r="G50" s="90" t="n"/>
      <c r="H50" s="90" t="n"/>
      <c r="I50" s="8">
        <f>(G50-H50)/H50</f>
        <v/>
      </c>
      <c r="J50" s="8">
        <f>G50/$G$51</f>
        <v/>
      </c>
      <c r="K50" s="101" t="n"/>
      <c r="L50" s="101" t="n"/>
      <c r="M50" s="9">
        <f>(K50-L50)/L50</f>
        <v/>
      </c>
      <c r="N50" s="9">
        <f>K50/$K$51</f>
        <v/>
      </c>
      <c r="O50" s="84" t="n"/>
      <c r="P50" s="84" t="n"/>
      <c r="Q50" s="9">
        <f>(O50-P50)/P50</f>
        <v/>
      </c>
      <c r="R50" s="9">
        <f>O50/$O$51</f>
        <v/>
      </c>
      <c r="S50" s="85" t="inlineStr">
        <is>
          <t>이카운트 총금액 - 판매현황 합계</t>
        </is>
      </c>
    </row>
    <row r="51" customFormat="1" s="91">
      <c r="A51" s="78" t="n"/>
      <c r="B51" s="92" t="inlineStr">
        <is>
          <t>소계</t>
        </is>
      </c>
      <c r="C51" s="104">
        <f>SUM(C47:C50)</f>
        <v/>
      </c>
      <c r="D51" s="104">
        <f>SUM(D47:D50)</f>
        <v/>
      </c>
      <c r="E51" s="20">
        <f>(C51-D51)/D51</f>
        <v/>
      </c>
      <c r="F51" s="20">
        <f>C51/$C$52</f>
        <v/>
      </c>
      <c r="G51" s="94">
        <f>SUM(G47:G50)</f>
        <v/>
      </c>
      <c r="H51" s="94">
        <f>SUM(H47:H50)</f>
        <v/>
      </c>
      <c r="I51" s="20">
        <f>(G51-H51)/H51</f>
        <v/>
      </c>
      <c r="J51" s="20">
        <f>G51/$G$52</f>
        <v/>
      </c>
      <c r="K51" s="104">
        <f>SUM(K47:K50)</f>
        <v/>
      </c>
      <c r="L51" s="104">
        <f>SUM(L47:L50)</f>
        <v/>
      </c>
      <c r="M51" s="20">
        <f>(K51-L51)/L51</f>
        <v/>
      </c>
      <c r="N51" s="20">
        <f>K51/$K$52</f>
        <v/>
      </c>
      <c r="O51" s="94">
        <f>SUM(O47:O50)</f>
        <v/>
      </c>
      <c r="P51" s="94">
        <f>SUM(P47:P50)</f>
        <v/>
      </c>
      <c r="Q51" s="20">
        <f>(O51-P51)/P51</f>
        <v/>
      </c>
      <c r="R51" s="20">
        <f>O51/$O$52</f>
        <v/>
      </c>
      <c r="S51" s="95" t="n"/>
      <c r="T51" s="65" t="n"/>
      <c r="U51" s="65" t="n"/>
      <c r="V51" s="65" t="n"/>
      <c r="W51" s="65" t="n"/>
      <c r="X51" s="65" t="n"/>
      <c r="Y51" s="65" t="n"/>
      <c r="Z51" s="65" t="n"/>
      <c r="AA51" s="65" t="n"/>
      <c r="AB51" s="65" t="n"/>
      <c r="AC51" s="65" t="n"/>
      <c r="AD51" s="65" t="n"/>
      <c r="AE51" s="65" t="n"/>
      <c r="AF51" s="65" t="n"/>
      <c r="AG51" s="65" t="n"/>
      <c r="AH51" s="65" t="n"/>
      <c r="AI51" s="65" t="n"/>
      <c r="AJ51" s="65" t="n"/>
      <c r="AK51" s="65" t="n"/>
      <c r="AL51" s="65" t="n"/>
      <c r="AM51" s="65" t="n"/>
      <c r="AN51" s="65" t="n"/>
      <c r="AO51" s="65" t="n"/>
      <c r="AP51" s="65" t="n"/>
      <c r="AQ51" s="65" t="n"/>
      <c r="AR51" s="65" t="n"/>
      <c r="AS51" s="65" t="n"/>
      <c r="AT51" s="65" t="n"/>
      <c r="AU51" s="65" t="n"/>
      <c r="AV51" s="65" t="n"/>
      <c r="AW51" s="65" t="n"/>
      <c r="AX51" s="65" t="n"/>
      <c r="AY51" s="65" t="n"/>
      <c r="AZ51" s="65" t="n"/>
      <c r="BA51" s="65" t="n"/>
      <c r="BB51" s="65" t="n"/>
      <c r="BC51" s="65" t="n"/>
      <c r="BD51" s="65" t="n"/>
      <c r="BE51" s="65" t="n"/>
      <c r="BF51" s="65" t="n"/>
      <c r="BG51" s="65" t="n"/>
      <c r="BH51" s="65" t="n"/>
      <c r="BI51" s="65" t="n"/>
      <c r="BJ51" s="65" t="n"/>
      <c r="BK51" s="65" t="n"/>
      <c r="BL51" s="65" t="n"/>
      <c r="BM51" s="65" t="n"/>
    </row>
    <row r="52" customFormat="1" s="91">
      <c r="A52" s="92" t="inlineStr">
        <is>
          <t>합계</t>
        </is>
      </c>
      <c r="B52" s="70" t="n"/>
      <c r="C52" s="104">
        <f>C51+C46+C40+C36+C31+C23</f>
        <v/>
      </c>
      <c r="D52" s="104">
        <f>D51+D46+D40+D36+D31+D23</f>
        <v/>
      </c>
      <c r="E52" s="20">
        <f>(C52-D52)/D52</f>
        <v/>
      </c>
      <c r="F52" s="20">
        <f>F51+F46+F40+F36+F31+F23</f>
        <v/>
      </c>
      <c r="G52" s="94">
        <f>G51+G46+G40+G36+G31+G23</f>
        <v/>
      </c>
      <c r="H52" s="94">
        <f>H51+H46+H40+H36+H31+H23</f>
        <v/>
      </c>
      <c r="I52" s="20">
        <f>(G52-H52)/H52</f>
        <v/>
      </c>
      <c r="J52" s="20">
        <f>J51+J46+J40+J36+J31+J23</f>
        <v/>
      </c>
      <c r="K52" s="104">
        <f>K51+K46+K40+K36+K31+K23</f>
        <v/>
      </c>
      <c r="L52" s="104">
        <f>L51+L46+L40+L36+L31+L23</f>
        <v/>
      </c>
      <c r="M52" s="20">
        <f>(K52-L52)/L52</f>
        <v/>
      </c>
      <c r="N52" s="20">
        <f>N51+N46+N40+N36+N31+N23</f>
        <v/>
      </c>
      <c r="O52" s="94">
        <f>O51+O46+O40+O36+O31+O23</f>
        <v/>
      </c>
      <c r="P52" s="94">
        <f>P51+P46+P40+P36+P31+P23</f>
        <v/>
      </c>
      <c r="Q52" s="20">
        <f>(O52-P52)/P52</f>
        <v/>
      </c>
      <c r="R52" s="20">
        <f>R51+R46+R40+R36+R31+R23</f>
        <v/>
      </c>
      <c r="S52" s="95" t="n"/>
      <c r="T52" s="65" t="n"/>
      <c r="U52" s="65" t="n"/>
      <c r="V52" s="65" t="n"/>
      <c r="W52" s="65" t="n"/>
      <c r="X52" s="65" t="n"/>
      <c r="Y52" s="65" t="n"/>
      <c r="Z52" s="65" t="n"/>
      <c r="AA52" s="65" t="n"/>
      <c r="AB52" s="65" t="n"/>
      <c r="AC52" s="65" t="n"/>
      <c r="AD52" s="65" t="n"/>
      <c r="AE52" s="65" t="n"/>
      <c r="AF52" s="65" t="n"/>
      <c r="AG52" s="65" t="n"/>
      <c r="AH52" s="65" t="n"/>
      <c r="AI52" s="65" t="n"/>
      <c r="AJ52" s="65" t="n"/>
      <c r="AK52" s="65" t="n"/>
      <c r="AL52" s="65" t="n"/>
      <c r="AM52" s="65" t="n"/>
      <c r="AN52" s="65" t="n"/>
      <c r="AO52" s="65" t="n"/>
      <c r="AP52" s="65" t="n"/>
      <c r="AQ52" s="65" t="n"/>
      <c r="AR52" s="65" t="n"/>
      <c r="AS52" s="65" t="n"/>
      <c r="AT52" s="65" t="n"/>
      <c r="AU52" s="65" t="n"/>
      <c r="AV52" s="65" t="n"/>
      <c r="AW52" s="65" t="n"/>
      <c r="AX52" s="65" t="n"/>
      <c r="AY52" s="65" t="n"/>
      <c r="AZ52" s="65" t="n"/>
      <c r="BA52" s="65" t="n"/>
      <c r="BB52" s="65" t="n"/>
      <c r="BC52" s="65" t="n"/>
      <c r="BD52" s="65" t="n"/>
      <c r="BE52" s="65" t="n"/>
      <c r="BF52" s="65" t="n"/>
      <c r="BG52" s="65" t="n"/>
      <c r="BH52" s="65" t="n"/>
      <c r="BI52" s="65" t="n"/>
      <c r="BJ52" s="65" t="n"/>
      <c r="BK52" s="65" t="n"/>
      <c r="BL52" s="65" t="n"/>
      <c r="BM52" s="65" t="n"/>
    </row>
    <row r="53">
      <c r="A53" s="85" t="n"/>
      <c r="B53" s="85" t="inlineStr">
        <is>
          <t>이카운트 총 금액</t>
        </is>
      </c>
      <c r="C53" s="103" t="n"/>
      <c r="D53" s="100" t="n"/>
      <c r="E53" s="8" t="n"/>
      <c r="F53" s="8" t="n"/>
      <c r="G53" s="82" t="n"/>
      <c r="H53" s="82" t="n"/>
      <c r="I53" s="8" t="n"/>
      <c r="J53" s="8" t="n"/>
      <c r="K53" s="102" t="n"/>
      <c r="L53" s="102" t="n"/>
      <c r="M53" s="9" t="n"/>
      <c r="N53" s="9" t="n"/>
      <c r="O53" s="88" t="n"/>
      <c r="P53" s="88" t="n"/>
      <c r="Q53" s="9" t="n"/>
      <c r="R53" s="9" t="n"/>
      <c r="S53" s="85" t="n"/>
    </row>
  </sheetData>
  <mergeCells count="12">
    <mergeCell ref="A4:A23"/>
    <mergeCell ref="A52:B52"/>
    <mergeCell ref="A2:B3"/>
    <mergeCell ref="C2:J2"/>
    <mergeCell ref="K2:R2"/>
    <mergeCell ref="A24:A31"/>
    <mergeCell ref="A1:B1"/>
    <mergeCell ref="A37:A40"/>
    <mergeCell ref="A47:A51"/>
    <mergeCell ref="A32:A36"/>
    <mergeCell ref="S2:S3"/>
    <mergeCell ref="A41:A46"/>
  </mergeCells>
  <conditionalFormatting sqref="C1:R2 C3:K53 C54:R1048576 M3:O53 Q3:R53">
    <cfRule type="cellIs" priority="1" operator="lessThan" dxfId="0">
      <formula>0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승용 강</dc:creator>
  <dcterms:created xsi:type="dcterms:W3CDTF">2026-03-03T00:25:00Z</dcterms:created>
  <dcterms:modified xsi:type="dcterms:W3CDTF">2026-04-06T07:08:46Z</dcterms:modified>
  <cp:lastModifiedBy>덕순 김</cp:lastModifiedBy>
  <cp:lastPrinted>2026-03-31T06:33:49Z</cp:lastPrinted>
</cp:coreProperties>
</file>